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PRODUKSI" sheetId="1" r:id="rId5"/>
    <sheet state="visible" name="JAKET SUPEROVA" sheetId="2" r:id="rId6"/>
    <sheet state="visible" name="JAKET MALABAR" sheetId="3" r:id="rId7"/>
    <sheet state="visible" name="JAKET HIDDEN" sheetId="4" r:id="rId8"/>
    <sheet state="visible" name="JAKET NORDIC" sheetId="5" r:id="rId9"/>
    <sheet state="visible" name="JAKET ODYSSE" sheetId="6" r:id="rId10"/>
    <sheet state="visible" name="JAKET ZEUS PARKA" sheetId="7" r:id="rId11"/>
  </sheets>
  <definedNames/>
  <calcPr/>
</workbook>
</file>

<file path=xl/sharedStrings.xml><?xml version="1.0" encoding="utf-8"?>
<sst xmlns="http://schemas.openxmlformats.org/spreadsheetml/2006/main" count="2030" uniqueCount="184">
  <si>
    <t>STOK AKSESORIS</t>
  </si>
  <si>
    <t>SKU PRODUK : SUPERNOVA</t>
  </si>
  <si>
    <t>SKU PRODUK : MALABAR</t>
  </si>
  <si>
    <t>SKU PRODUK : HIDDEN BLACK</t>
  </si>
  <si>
    <t>KEBUTUHAN HIDDEN</t>
  </si>
  <si>
    <t>HIDDEN SIZE M</t>
  </si>
  <si>
    <t>NO</t>
  </si>
  <si>
    <t>KEBUTUHAN SUPERNOVA</t>
  </si>
  <si>
    <t>NAMA</t>
  </si>
  <si>
    <t>SUPERNOVA SIZE M</t>
  </si>
  <si>
    <t>PRODUK</t>
  </si>
  <si>
    <t>SIZE</t>
  </si>
  <si>
    <t>KEBUTUHAN MALABAR</t>
  </si>
  <si>
    <t>No</t>
  </si>
  <si>
    <t>KET -  PAX/DZN/ROLL/METER/YARD</t>
  </si>
  <si>
    <t>MALABAR SIZE M</t>
  </si>
  <si>
    <t>Nama</t>
  </si>
  <si>
    <t>HARGA</t>
  </si>
  <si>
    <t>KETERANGAN</t>
  </si>
  <si>
    <t>WARNA/SIZE</t>
  </si>
  <si>
    <t xml:space="preserve">Parasut RJN </t>
  </si>
  <si>
    <t>Supernova, Malabar</t>
  </si>
  <si>
    <t>VENDOR</t>
  </si>
  <si>
    <t>warna/size</t>
  </si>
  <si>
    <t>KEPERLUAN</t>
  </si>
  <si>
    <t>Parasut RJN LITE</t>
  </si>
  <si>
    <t>Hidden</t>
  </si>
  <si>
    <t>Status</t>
  </si>
  <si>
    <t>Parasut Crinkle Dusky</t>
  </si>
  <si>
    <t>(C10*1,7)+(D10*1,75)+(E10*1,85)+(F10*2)+(G10*2,2)</t>
  </si>
  <si>
    <t>Nordic</t>
  </si>
  <si>
    <t>Puring Bilabong 45 /120Gsm (Tebal)</t>
  </si>
  <si>
    <t>Puring Bilabong 60/90 Gsm</t>
  </si>
  <si>
    <t xml:space="preserve">Parasut RJN lite </t>
  </si>
  <si>
    <t>Hidden Black</t>
  </si>
  <si>
    <t>Parasut RJN</t>
  </si>
  <si>
    <t>Puring Jala Mesh/Basket</t>
  </si>
  <si>
    <t>HITAM, SAGA, DAVIA BLUE, MOCCA</t>
  </si>
  <si>
    <t xml:space="preserve">Puring Peles2 </t>
  </si>
  <si>
    <t>HITAM, MOCCA, OLIVE, BURGUNDY, TOBACCO</t>
  </si>
  <si>
    <t>Puring TAPETA</t>
  </si>
  <si>
    <t>ZEUS PARKA</t>
  </si>
  <si>
    <t>JAHIT</t>
  </si>
  <si>
    <t>Resleting Coil DSJK No5, Hitam 28Inch/71cm (M)</t>
  </si>
  <si>
    <t>M</t>
  </si>
  <si>
    <t>S,M</t>
  </si>
  <si>
    <t>Meter</t>
  </si>
  <si>
    <t>Puring Bilabong 45 /120Gsm</t>
  </si>
  <si>
    <t>Resleting Coil DSJK No5, Hitam 30Inch/75cm (L,XL)</t>
  </si>
  <si>
    <t>Puring Bilabong 60/90Gsm (Tipis)</t>
  </si>
  <si>
    <t>HITAM</t>
  </si>
  <si>
    <t>L,XL</t>
  </si>
  <si>
    <t>Resleting Coil DSJK No5, Hitam 32Inch/81cm (XXL, 3XL)</t>
  </si>
  <si>
    <t>XXL, 3XL</t>
  </si>
  <si>
    <t>Resleting Roll DS Nylon 5 Black 1,2Kg</t>
  </si>
  <si>
    <t>Supernova, Malabar, Nordic</t>
  </si>
  <si>
    <t>Resleting Vislon GMC No5, Hitam 24Inch/66cm (S,M)</t>
  </si>
  <si>
    <t>Puring Bilabong 60/90Gsm</t>
  </si>
  <si>
    <t>Resleting Vislon GMC No5, Hitam 26Inch/66cm (L,XL)</t>
  </si>
  <si>
    <t>kg</t>
  </si>
  <si>
    <t>Resleting Vislon GMC No5, Hitam 28Inch/71cm (XXL)</t>
  </si>
  <si>
    <t>XXL</t>
  </si>
  <si>
    <t>Kg</t>
  </si>
  <si>
    <t>Benang Tambang</t>
  </si>
  <si>
    <t>Kepala Resleing YKK Depan cnda 5 Lock</t>
  </si>
  <si>
    <t>Supernova</t>
  </si>
  <si>
    <t>Kepala Resleting YKK Cebol cnda 5</t>
  </si>
  <si>
    <t>Kepala Resleing YKK Depan Vislon 5 Lock</t>
  </si>
  <si>
    <t>pcs</t>
  </si>
  <si>
    <t>Velcro Hitam 1 inch /2,5cm</t>
  </si>
  <si>
    <t>Semua Produk</t>
  </si>
  <si>
    <t>Karet Elastis SR Biru 1 inch /2,5cm</t>
  </si>
  <si>
    <t>Kancing Cetek 15mm Plastik</t>
  </si>
  <si>
    <t>Resleting Coil DSJK No5, Hitam 15 inch/40cm</t>
  </si>
  <si>
    <t>Stop Resleting</t>
  </si>
  <si>
    <t>Tali Resleting / Puller Rope Hitam</t>
  </si>
  <si>
    <t>Taliqur/ Karet String 2,5mm Hitam (Premium)</t>
  </si>
  <si>
    <t>Resleting Coil DSJK No5, Hitam</t>
  </si>
  <si>
    <t xml:space="preserve">28Inch/71cm </t>
  </si>
  <si>
    <t>Stopper Botol Bening</t>
  </si>
  <si>
    <t>Kain Keras 25N</t>
  </si>
  <si>
    <t>Mata itik ST 350 N  Hitam</t>
  </si>
  <si>
    <t>Resleting Coil DSJK No5, Hitam 28Inch/71cm (S,M)</t>
  </si>
  <si>
    <t>Resleting jepang 25cm</t>
  </si>
  <si>
    <t>Mata itik ST Ring 350 N Hitam</t>
  </si>
  <si>
    <t>S, M</t>
  </si>
  <si>
    <t>Resleting Coil DSJK No5, Hitam 28Inch/71cm</t>
  </si>
  <si>
    <t>XXL,3XL</t>
  </si>
  <si>
    <t>Label Size Chart</t>
  </si>
  <si>
    <t>M,L,XL,XXL,3XL</t>
  </si>
  <si>
    <t>Stiker Size Chart</t>
  </si>
  <si>
    <t>Resleting Coil DSJK No5, Hitam 30Inch/75cm</t>
  </si>
  <si>
    <t>Tali Hantag</t>
  </si>
  <si>
    <t>Plastik Bening 35x40 (07)</t>
  </si>
  <si>
    <t>TALI SEPATU</t>
  </si>
  <si>
    <t>ODYSSE</t>
  </si>
  <si>
    <t>meter</t>
  </si>
  <si>
    <t>Resleting Coil 6Inch/15cm</t>
  </si>
  <si>
    <t>MALABAR</t>
  </si>
  <si>
    <t>Mata itik V-22 black nikel</t>
  </si>
  <si>
    <t>STOK BENANG</t>
  </si>
  <si>
    <t>Resleting Coil DSJK No5, Hitam 32Inch/81cm</t>
  </si>
  <si>
    <t>BAHAN KAIN / CODE BENANG</t>
  </si>
  <si>
    <t>PCS</t>
  </si>
  <si>
    <t>HITAM/BLACK</t>
  </si>
  <si>
    <t>HIJAU OLIVE / 247</t>
  </si>
  <si>
    <t>Pcs</t>
  </si>
  <si>
    <t>MOCCA / 254</t>
  </si>
  <si>
    <t>PETROL / 495</t>
  </si>
  <si>
    <t>Malabar, Nordic</t>
  </si>
  <si>
    <t>KHAKI / 248</t>
  </si>
  <si>
    <t>ABU</t>
  </si>
  <si>
    <t>MAROON / 141</t>
  </si>
  <si>
    <t>Mata itik ST 350 N Hitam</t>
  </si>
  <si>
    <t>SAGE / 530</t>
  </si>
  <si>
    <t>NAVY / 399</t>
  </si>
  <si>
    <t>STOK LABEL</t>
  </si>
  <si>
    <t>MOVEN KOTAK OWNC KECIL</t>
  </si>
  <si>
    <t>Mata itik / ST 350 N HITAM</t>
  </si>
  <si>
    <t>MOVEN LOGO OWNC MAHKOTA BULAT</t>
  </si>
  <si>
    <t>MOVEN TANDA TANGAN BESAR</t>
  </si>
  <si>
    <t>ST Ring 350 N, Hitam</t>
  </si>
  <si>
    <t>Label Size Chart (M,L,XL,XXL,3XL)</t>
  </si>
  <si>
    <t xml:space="preserve">LEBEL PUNGGUNG </t>
  </si>
  <si>
    <t>LEBEL SLIP OWNC</t>
  </si>
  <si>
    <t>LEBEL WAHING DALAM</t>
  </si>
  <si>
    <t>PACTH KARET LOGO HITAM</t>
  </si>
  <si>
    <t>HANTAG</t>
  </si>
  <si>
    <t>PACTH KARET LOGO MERAH</t>
  </si>
  <si>
    <t>MOVEN KOTAK LOGO MERAH KECIL</t>
  </si>
  <si>
    <t>Mata itik ST 350 BN Hitam</t>
  </si>
  <si>
    <t>Mata itik ST Ring 350 BN Hitam</t>
  </si>
  <si>
    <t xml:space="preserve">Label Size Chart </t>
  </si>
  <si>
    <t>FINISHING</t>
  </si>
  <si>
    <t>HIDDEN SIZE L</t>
  </si>
  <si>
    <t>L</t>
  </si>
  <si>
    <t>30Inch/75cm</t>
  </si>
  <si>
    <t>BORDIR</t>
  </si>
  <si>
    <t>SUPERNOVA SIZE L</t>
  </si>
  <si>
    <t>SUPERNOVA SIZE XL</t>
  </si>
  <si>
    <t>XL</t>
  </si>
  <si>
    <t>MALABAR SIZE L</t>
  </si>
  <si>
    <t>HIDDEN SIZE XL</t>
  </si>
  <si>
    <t>SKU PRODUK : NORDIC</t>
  </si>
  <si>
    <t>NORDIC SIZE S</t>
  </si>
  <si>
    <t>(C9*1,4)+(D9*1,45)+(E9*1,55)+(F9*1,62)+(G9*1,7)</t>
  </si>
  <si>
    <t>HIDDEN SIZE XXL</t>
  </si>
  <si>
    <t>BLACK,OLIVE ARMY,LT PETROL,CAMEL,STONE GREY, BURGUNDY,SAGE GREEN,OBSIDIAN</t>
  </si>
  <si>
    <t>MALABAR SIZE XL</t>
  </si>
  <si>
    <t>32Inch/81cm</t>
  </si>
  <si>
    <t>Puring Peles2 (bagian lengan)</t>
  </si>
  <si>
    <t>SUPERNOVA SIZE XXL</t>
  </si>
  <si>
    <t>SUPERNOVA SIZE 3XL</t>
  </si>
  <si>
    <t>3XL</t>
  </si>
  <si>
    <t>Resleting Vislon GMC No5, Hitam</t>
  </si>
  <si>
    <t>24Inch/66cm</t>
  </si>
  <si>
    <t>HIDDEN SIZE 3XL</t>
  </si>
  <si>
    <t>MALABAR SIZE XXL</t>
  </si>
  <si>
    <t>Mata itik ST Ring 350 BN, Hitam</t>
  </si>
  <si>
    <t>Label Size Chart (S,M,L,XL,XXL)</t>
  </si>
  <si>
    <t>S,M,L,XL,XXL</t>
  </si>
  <si>
    <t>MALABAR SIZE 3XL</t>
  </si>
  <si>
    <t>NORDIC SIZE M</t>
  </si>
  <si>
    <t>NORDIC SIZE L</t>
  </si>
  <si>
    <t>26Inch/66cm</t>
  </si>
  <si>
    <t>NORDIC SIZE XL</t>
  </si>
  <si>
    <t>SKU PRODUK : ODYSSE</t>
  </si>
  <si>
    <t>KEBUTUHAN ODYSSE</t>
  </si>
  <si>
    <t>ODYSSE SIZE M</t>
  </si>
  <si>
    <t>NORDIC SIZE XXL</t>
  </si>
  <si>
    <t>HITAM, BURGUNDY, TOBACCO, FOREST GREEN</t>
  </si>
  <si>
    <t>28Inch/71cm</t>
  </si>
  <si>
    <t xml:space="preserve">Resleting Coil 6Inch/15cm </t>
  </si>
  <si>
    <t>Tali Sepatu</t>
  </si>
  <si>
    <t>Merah, Hitam</t>
  </si>
  <si>
    <t>SKU PRODUK : ZEUS PARKA</t>
  </si>
  <si>
    <t>ODYSSE SIZE L</t>
  </si>
  <si>
    <t>KEBUTUHAN ZEUS PARKA</t>
  </si>
  <si>
    <t>HITAM, OLIVE ARMY, CAMEL, OXFORD BLUE</t>
  </si>
  <si>
    <t>PURING TAPETA</t>
  </si>
  <si>
    <t>Mata itik ST 350 N HITAM</t>
  </si>
  <si>
    <t>ODYSSE SIZE XL</t>
  </si>
  <si>
    <t>ODYSSE SIZE XXL</t>
  </si>
  <si>
    <t>ODYSSE SIZE 3XL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</si>
</sst>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rgb="FFFFFFFF"/>
      <name val="Arial"/>
    </font>
    <font>
      <sz val="10.0"/>
      <color theme="1"/>
      <name val="Arial"/>
    </font>
    <font>
      <b/>
      <sz val="18.0"/>
      <color theme="1"/>
      <name val="Arial"/>
    </font>
    <font>
      <sz val="10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783F04"/>
        <bgColor rgb="FF783F04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1" xfId="0" applyFont="1" applyNumberFormat="1"/>
    <xf borderId="0" fillId="0" fontId="3" numFmtId="0" xfId="0" applyAlignment="1" applyFont="1">
      <alignment horizontal="center" readingOrder="0"/>
    </xf>
    <xf borderId="0" fillId="0" fontId="4" numFmtId="2" xfId="0" applyFont="1" applyNumberFormat="1"/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 readingOrder="0"/>
    </xf>
    <xf borderId="1" fillId="0" fontId="5" numFmtId="0" xfId="0" applyBorder="1" applyFont="1"/>
    <xf borderId="3" fillId="0" fontId="6" numFmtId="0" xfId="0" applyBorder="1" applyFont="1"/>
    <xf borderId="1" fillId="0" fontId="5" numFmtId="1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4" fillId="0" fontId="6" numFmtId="0" xfId="0" applyBorder="1" applyFont="1"/>
    <xf borderId="1" fillId="0" fontId="5" numFmtId="1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4" fontId="5" numFmtId="1" xfId="0" applyAlignment="1" applyBorder="1" applyFill="1" applyFont="1" applyNumberFormat="1">
      <alignment horizontal="center"/>
    </xf>
    <xf borderId="1" fillId="0" fontId="5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/>
    </xf>
    <xf borderId="2" fillId="6" fontId="5" numFmtId="1" xfId="0" applyAlignment="1" applyBorder="1" applyFill="1" applyFont="1" applyNumberFormat="1">
      <alignment horizontal="center" readingOrder="0" vertical="bottom"/>
    </xf>
    <xf borderId="1" fillId="5" fontId="2" numFmtId="0" xfId="0" applyAlignment="1" applyBorder="1" applyFill="1" applyFont="1">
      <alignment readingOrder="0"/>
    </xf>
    <xf borderId="1" fillId="0" fontId="2" numFmtId="1" xfId="0" applyBorder="1" applyFont="1" applyNumberFormat="1"/>
    <xf borderId="1" fillId="0" fontId="4" numFmtId="0" xfId="0" applyBorder="1" applyFont="1"/>
    <xf borderId="1" fillId="0" fontId="5" numFmtId="1" xfId="0" applyAlignment="1" applyBorder="1" applyFont="1" applyNumberFormat="1">
      <alignment horizontal="center" readingOrder="0" vertical="bottom"/>
    </xf>
    <xf borderId="1" fillId="5" fontId="2" numFmtId="0" xfId="0" applyAlignment="1" applyBorder="1" applyFill="1" applyFont="1">
      <alignment horizontal="center" readingOrder="0"/>
    </xf>
    <xf borderId="1" fillId="0" fontId="5" numFmtId="2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readingOrder="0"/>
    </xf>
    <xf borderId="1" fillId="7" fontId="5" numFmtId="0" xfId="0" applyAlignment="1" applyBorder="1" applyFill="1" applyFont="1">
      <alignment horizontal="center" vertical="bottom"/>
    </xf>
    <xf borderId="1" fillId="5" fontId="2" numFmtId="0" xfId="0" applyBorder="1" applyFill="1" applyFont="1"/>
    <xf borderId="0" fillId="0" fontId="4" numFmtId="0" xfId="0" applyAlignment="1" applyFont="1">
      <alignment readingOrder="0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readingOrder="0" vertical="bottom"/>
    </xf>
    <xf borderId="2" fillId="6" fontId="2" numFmtId="1" xfId="0" applyAlignment="1" applyBorder="1" applyFill="1" applyFont="1" applyNumberFormat="1">
      <alignment horizontal="center" readingOrder="0" vertical="bottom"/>
    </xf>
    <xf borderId="2" fillId="0" fontId="4" numFmtId="0" xfId="0" applyAlignment="1" applyBorder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8" fontId="2" numFmtId="0" xfId="0" applyBorder="1" applyFill="1" applyFont="1"/>
    <xf borderId="1" fillId="0" fontId="2" numFmtId="1" xfId="0" applyAlignment="1" applyBorder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/>
    </xf>
    <xf borderId="1" fillId="9" fontId="2" numFmtId="0" xfId="0" applyAlignment="1" applyBorder="1" applyFill="1" applyFont="1">
      <alignment readingOrder="0" vertical="bottom"/>
    </xf>
    <xf borderId="1" fillId="8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vertical="bottom"/>
    </xf>
    <xf borderId="1" fillId="0" fontId="2" numFmtId="1" xfId="0" applyAlignment="1" applyBorder="1" applyFont="1" applyNumberFormat="1">
      <alignment horizontal="center"/>
    </xf>
    <xf borderId="2" fillId="0" fontId="4" numFmtId="0" xfId="0" applyBorder="1" applyFont="1"/>
    <xf borderId="0" fillId="8" fontId="2" numFmtId="0" xfId="0" applyFill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9" fontId="2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 vertical="bottom"/>
    </xf>
    <xf borderId="1" fillId="10" fontId="2" numFmtId="0" xfId="0" applyBorder="1" applyFill="1" applyFont="1"/>
    <xf borderId="1" fillId="0" fontId="2" numFmtId="1" xfId="0" applyAlignment="1" applyBorder="1" applyFont="1" applyNumberFormat="1">
      <alignment horizontal="center" vertical="bottom"/>
    </xf>
    <xf borderId="1" fillId="4" fontId="2" numFmtId="0" xfId="0" applyAlignment="1" applyBorder="1" applyFill="1" applyFont="1">
      <alignment horizontal="center"/>
    </xf>
    <xf borderId="1" fillId="4" fontId="2" numFmtId="0" xfId="0" applyBorder="1" applyFill="1" applyFont="1"/>
    <xf borderId="1" fillId="8" fontId="2" numFmtId="0" xfId="0" applyAlignment="1" applyBorder="1" applyFill="1" applyFont="1">
      <alignment horizontal="center" vertical="bottom"/>
    </xf>
    <xf borderId="1" fillId="9" fontId="2" numFmtId="164" xfId="0" applyAlignment="1" applyBorder="1" applyFill="1" applyFont="1" applyNumberFormat="1">
      <alignment readingOrder="0" vertical="bottom"/>
    </xf>
    <xf borderId="1" fillId="11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readingOrder="0"/>
    </xf>
    <xf borderId="1" fillId="11" fontId="2" numFmtId="0" xfId="0" applyBorder="1" applyFill="1" applyFont="1"/>
    <xf borderId="1" fillId="0" fontId="2" numFmtId="1" xfId="0" applyAlignment="1" applyBorder="1" applyFont="1" applyNumberFormat="1">
      <alignment horizontal="center" vertical="bottom"/>
    </xf>
    <xf borderId="1" fillId="8" fontId="2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readingOrder="0"/>
    </xf>
    <xf borderId="1" fillId="0" fontId="4" numFmtId="1" xfId="0" applyAlignment="1" applyBorder="1" applyFont="1" applyNumberFormat="1">
      <alignment horizontal="center" readingOrder="0"/>
    </xf>
    <xf borderId="0" fillId="8" fontId="2" numFmtId="0" xfId="0" applyAlignment="1" applyFill="1" applyFont="1">
      <alignment vertical="bottom"/>
    </xf>
    <xf borderId="0" fillId="0" fontId="2" numFmtId="1" xfId="0" applyAlignment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11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1" fillId="8" fontId="2" numFmtId="0" xfId="0" applyAlignment="1" applyBorder="1" applyFill="1" applyFont="1">
      <alignment readingOrder="0" vertical="center"/>
    </xf>
    <xf borderId="1" fillId="0" fontId="2" numFmtId="2" xfId="0" applyAlignment="1" applyBorder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 vertical="bottom"/>
    </xf>
    <xf borderId="1" fillId="12" fontId="2" numFmtId="164" xfId="0" applyBorder="1" applyFill="1" applyFont="1" applyNumberFormat="1"/>
    <xf borderId="1" fillId="4" fontId="2" numFmtId="0" xfId="0" applyAlignment="1" applyBorder="1" applyFill="1" applyFont="1">
      <alignment vertical="bottom"/>
    </xf>
    <xf borderId="1" fillId="13" fontId="8" numFmtId="0" xfId="0" applyBorder="1" applyFill="1" applyFont="1"/>
    <xf borderId="1" fillId="8" fontId="2" numFmtId="0" xfId="0" applyAlignment="1" applyBorder="1" applyFill="1" applyFont="1">
      <alignment vertical="bottom"/>
    </xf>
    <xf borderId="1" fillId="11" fontId="2" numFmtId="0" xfId="0" applyAlignment="1" applyBorder="1" applyFill="1" applyFont="1">
      <alignment horizontal="center" vertical="bottom"/>
    </xf>
    <xf borderId="1" fillId="11" fontId="2" numFmtId="0" xfId="0" applyAlignment="1" applyBorder="1" applyFill="1" applyFont="1">
      <alignment vertical="bottom"/>
    </xf>
    <xf borderId="1" fillId="0" fontId="2" numFmtId="1" xfId="0" applyAlignment="1" applyBorder="1" applyFont="1" applyNumberFormat="1">
      <alignment horizontal="center" readingOrder="0"/>
    </xf>
    <xf borderId="1" fillId="9" fontId="2" numFmtId="164" xfId="0" applyBorder="1" applyFill="1" applyFont="1" applyNumberFormat="1"/>
    <xf borderId="1" fillId="14" fontId="8" numFmtId="0" xfId="0" applyBorder="1" applyFill="1" applyFont="1"/>
    <xf borderId="1" fillId="15" fontId="8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16" fontId="2" numFmtId="0" xfId="0" applyAlignment="1" applyBorder="1" applyFill="1" applyFont="1">
      <alignment vertical="bottom"/>
    </xf>
    <xf borderId="1" fillId="12" fontId="2" numFmtId="0" xfId="0" applyAlignment="1" applyBorder="1" applyFill="1" applyFont="1">
      <alignment vertical="bottom"/>
    </xf>
    <xf borderId="1" fillId="17" fontId="2" numFmtId="0" xfId="0" applyAlignment="1" applyBorder="1" applyFill="1" applyFont="1">
      <alignment vertical="bottom"/>
    </xf>
    <xf borderId="1" fillId="11" fontId="2" numFmtId="0" xfId="0" applyAlignment="1" applyBorder="1" applyFill="1" applyFont="1">
      <alignment readingOrder="0" vertical="bottom"/>
    </xf>
    <xf borderId="1" fillId="12" fontId="2" numFmtId="0" xfId="0" applyBorder="1" applyFill="1" applyFont="1"/>
    <xf borderId="1" fillId="18" fontId="2" numFmtId="0" xfId="0" applyAlignment="1" applyBorder="1" applyFill="1" applyFont="1">
      <alignment vertical="bottom"/>
    </xf>
    <xf borderId="1" fillId="19" fontId="8" numFmtId="0" xfId="0" applyAlignment="1" applyBorder="1" applyFill="1" applyFont="1">
      <alignment vertical="bottom"/>
    </xf>
    <xf borderId="0" fillId="0" fontId="4" numFmtId="1" xfId="0" applyAlignment="1" applyFont="1" applyNumberFormat="1">
      <alignment horizontal="center" readingOrder="0"/>
    </xf>
    <xf borderId="1" fillId="9" fontId="2" numFmtId="0" xfId="0" applyBorder="1" applyFill="1" applyFont="1"/>
    <xf borderId="1" fillId="0" fontId="2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 vertical="bottom"/>
    </xf>
    <xf borderId="1" fillId="0" fontId="9" numFmtId="0" xfId="0" applyBorder="1" applyFont="1"/>
    <xf borderId="1" fillId="0" fontId="2" numFmtId="1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/>
    </xf>
    <xf borderId="0" fillId="2" fontId="10" numFmtId="0" xfId="0" applyAlignment="1" applyFill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left" vertical="center"/>
    </xf>
    <xf borderId="2" fillId="6" fontId="2" numFmtId="1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0" fontId="9" numFmtId="0" xfId="0" applyFont="1"/>
    <xf borderId="0" fillId="0" fontId="4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4" fontId="1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21.63"/>
    <col customWidth="1" min="5" max="5" width="29.75"/>
  </cols>
  <sheetData>
    <row r="1">
      <c r="A1" s="1" t="s">
        <v>0</v>
      </c>
    </row>
    <row r="2">
      <c r="A2" s="2"/>
      <c r="B2" s="2"/>
      <c r="C2" s="3"/>
      <c r="D2" s="3"/>
      <c r="E2" s="3"/>
    </row>
    <row r="3">
      <c r="A3" s="2"/>
      <c r="B3" s="2"/>
      <c r="C3" s="3"/>
      <c r="D3" s="3"/>
      <c r="E3" s="3"/>
    </row>
    <row r="4">
      <c r="A4" s="7" t="s">
        <v>6</v>
      </c>
      <c r="B4" s="9" t="s">
        <v>8</v>
      </c>
      <c r="C4" s="11" t="s">
        <v>10</v>
      </c>
      <c r="D4" s="14" t="s">
        <v>11</v>
      </c>
      <c r="E4" s="16" t="s">
        <v>14</v>
      </c>
      <c r="F4" s="18" t="s">
        <v>17</v>
      </c>
    </row>
    <row r="5">
      <c r="A5" s="19">
        <v>1.0</v>
      </c>
      <c r="B5" s="21" t="s">
        <v>20</v>
      </c>
      <c r="C5" s="22" t="s">
        <v>21</v>
      </c>
      <c r="D5" s="22"/>
      <c r="E5" s="22"/>
      <c r="F5" s="23"/>
    </row>
    <row r="6">
      <c r="A6" s="25">
        <v>2.0</v>
      </c>
      <c r="B6" s="21" t="s">
        <v>25</v>
      </c>
      <c r="C6" s="27" t="s">
        <v>26</v>
      </c>
      <c r="D6" s="22"/>
      <c r="E6" s="22"/>
      <c r="F6" s="23"/>
    </row>
    <row r="7">
      <c r="A7" s="19">
        <v>3.0</v>
      </c>
      <c r="B7" s="29" t="s">
        <v>28</v>
      </c>
      <c r="C7" s="22" t="s">
        <v>30</v>
      </c>
      <c r="D7" s="22"/>
      <c r="E7" s="22"/>
      <c r="F7" s="23"/>
    </row>
    <row r="8">
      <c r="A8" s="25">
        <v>4.0</v>
      </c>
      <c r="B8" s="29" t="s">
        <v>31</v>
      </c>
      <c r="C8" s="22" t="s">
        <v>21</v>
      </c>
      <c r="D8" s="22"/>
      <c r="E8" s="22"/>
      <c r="F8" s="23"/>
    </row>
    <row r="9">
      <c r="A9" s="19">
        <v>5.0</v>
      </c>
      <c r="B9" s="21" t="s">
        <v>32</v>
      </c>
      <c r="C9" s="22" t="s">
        <v>34</v>
      </c>
      <c r="D9" s="22"/>
      <c r="E9" s="22"/>
      <c r="F9" s="23"/>
    </row>
    <row r="10">
      <c r="A10" s="25">
        <v>6.0</v>
      </c>
      <c r="B10" s="29" t="s">
        <v>36</v>
      </c>
      <c r="C10" s="22" t="s">
        <v>30</v>
      </c>
      <c r="D10" s="22"/>
      <c r="E10" s="22"/>
      <c r="F10" s="23"/>
    </row>
    <row r="11">
      <c r="A11" s="19">
        <v>7.0</v>
      </c>
      <c r="B11" s="21" t="s">
        <v>38</v>
      </c>
      <c r="C11" s="22" t="s">
        <v>30</v>
      </c>
      <c r="D11" s="22"/>
      <c r="E11" s="22"/>
      <c r="F11" s="23"/>
    </row>
    <row r="12">
      <c r="A12" s="25">
        <v>8.0</v>
      </c>
      <c r="B12" s="21" t="s">
        <v>40</v>
      </c>
      <c r="C12" s="27" t="s">
        <v>41</v>
      </c>
      <c r="D12" s="22"/>
      <c r="E12" s="22"/>
      <c r="F12" s="23"/>
    </row>
    <row r="13">
      <c r="A13" s="35">
        <v>9.0</v>
      </c>
      <c r="B13" s="37" t="s">
        <v>43</v>
      </c>
      <c r="C13" s="22" t="s">
        <v>21</v>
      </c>
      <c r="D13" s="40" t="s">
        <v>45</v>
      </c>
      <c r="E13" s="22"/>
      <c r="F13" s="23"/>
    </row>
    <row r="14">
      <c r="A14" s="44">
        <f t="shared" ref="A14:A32" si="1">A13+1</f>
        <v>10</v>
      </c>
      <c r="B14" s="37" t="s">
        <v>48</v>
      </c>
      <c r="C14" s="22" t="s">
        <v>21</v>
      </c>
      <c r="D14" s="46" t="s">
        <v>51</v>
      </c>
      <c r="E14" s="22"/>
      <c r="F14" s="23"/>
    </row>
    <row r="15">
      <c r="A15" s="44">
        <f t="shared" si="1"/>
        <v>11</v>
      </c>
      <c r="B15" s="37" t="s">
        <v>52</v>
      </c>
      <c r="C15" s="22" t="s">
        <v>21</v>
      </c>
      <c r="D15" s="46" t="s">
        <v>53</v>
      </c>
      <c r="E15" s="22"/>
      <c r="F15" s="23"/>
    </row>
    <row r="16">
      <c r="A16" s="44">
        <f t="shared" si="1"/>
        <v>12</v>
      </c>
      <c r="B16" s="48" t="s">
        <v>54</v>
      </c>
      <c r="C16" s="22" t="s">
        <v>55</v>
      </c>
      <c r="D16" s="22"/>
      <c r="E16" s="22"/>
      <c r="F16" s="23"/>
    </row>
    <row r="17">
      <c r="A17" s="44">
        <f t="shared" si="1"/>
        <v>13</v>
      </c>
      <c r="B17" s="37" t="s">
        <v>56</v>
      </c>
      <c r="C17" s="49" t="s">
        <v>30</v>
      </c>
      <c r="D17" s="50" t="s">
        <v>45</v>
      </c>
      <c r="E17" s="22"/>
      <c r="F17" s="23"/>
    </row>
    <row r="18">
      <c r="A18" s="44">
        <f t="shared" si="1"/>
        <v>14</v>
      </c>
      <c r="B18" s="37" t="s">
        <v>58</v>
      </c>
      <c r="C18" s="49" t="s">
        <v>30</v>
      </c>
      <c r="D18" s="50" t="s">
        <v>51</v>
      </c>
      <c r="E18" s="22"/>
      <c r="F18" s="23"/>
    </row>
    <row r="19">
      <c r="A19" s="44">
        <f t="shared" si="1"/>
        <v>15</v>
      </c>
      <c r="B19" s="37" t="s">
        <v>60</v>
      </c>
      <c r="C19" s="49" t="s">
        <v>30</v>
      </c>
      <c r="D19" s="50" t="s">
        <v>61</v>
      </c>
      <c r="E19" s="22"/>
      <c r="F19" s="23"/>
    </row>
    <row r="20">
      <c r="A20" s="54">
        <f t="shared" si="1"/>
        <v>16</v>
      </c>
      <c r="B20" s="56" t="s">
        <v>64</v>
      </c>
      <c r="C20" s="22" t="s">
        <v>65</v>
      </c>
      <c r="D20" s="22"/>
      <c r="E20" s="22"/>
      <c r="F20" s="23"/>
    </row>
    <row r="21">
      <c r="A21" s="54">
        <f t="shared" si="1"/>
        <v>17</v>
      </c>
      <c r="B21" s="56" t="s">
        <v>66</v>
      </c>
      <c r="C21" s="22" t="s">
        <v>65</v>
      </c>
      <c r="D21" s="22"/>
      <c r="E21" s="22"/>
      <c r="F21" s="23"/>
    </row>
    <row r="22">
      <c r="A22" s="54">
        <f t="shared" si="1"/>
        <v>18</v>
      </c>
      <c r="B22" s="56" t="s">
        <v>67</v>
      </c>
      <c r="C22" s="22" t="s">
        <v>30</v>
      </c>
      <c r="D22" s="22"/>
      <c r="E22" s="22"/>
      <c r="F22" s="23"/>
    </row>
    <row r="23">
      <c r="A23" s="58">
        <f t="shared" si="1"/>
        <v>19</v>
      </c>
      <c r="B23" s="59" t="s">
        <v>69</v>
      </c>
      <c r="C23" s="22" t="s">
        <v>70</v>
      </c>
      <c r="D23" s="22"/>
      <c r="E23" s="22"/>
      <c r="F23" s="23"/>
    </row>
    <row r="24">
      <c r="A24" s="58">
        <f t="shared" si="1"/>
        <v>20</v>
      </c>
      <c r="B24" s="59" t="s">
        <v>71</v>
      </c>
      <c r="C24" s="22" t="s">
        <v>70</v>
      </c>
      <c r="D24" s="22"/>
      <c r="E24" s="22"/>
      <c r="F24" s="23"/>
    </row>
    <row r="25">
      <c r="A25" s="58">
        <f t="shared" si="1"/>
        <v>21</v>
      </c>
      <c r="B25" s="59" t="s">
        <v>72</v>
      </c>
      <c r="C25" s="22" t="s">
        <v>30</v>
      </c>
      <c r="D25" s="22"/>
      <c r="E25" s="22"/>
      <c r="F25" s="23"/>
    </row>
    <row r="26">
      <c r="A26" s="58">
        <f t="shared" si="1"/>
        <v>22</v>
      </c>
      <c r="B26" s="59" t="s">
        <v>74</v>
      </c>
      <c r="C26" s="22" t="s">
        <v>30</v>
      </c>
      <c r="D26" s="22"/>
      <c r="E26" s="22"/>
      <c r="F26" s="36"/>
    </row>
    <row r="27">
      <c r="A27" s="62">
        <f t="shared" si="1"/>
        <v>23</v>
      </c>
      <c r="B27" s="64" t="s">
        <v>75</v>
      </c>
      <c r="C27" s="22" t="s">
        <v>70</v>
      </c>
      <c r="D27" s="22"/>
      <c r="E27" s="22"/>
      <c r="F27" s="23"/>
    </row>
    <row r="28">
      <c r="A28" s="62">
        <f t="shared" si="1"/>
        <v>24</v>
      </c>
      <c r="B28" s="64" t="s">
        <v>76</v>
      </c>
      <c r="C28" s="22" t="s">
        <v>70</v>
      </c>
      <c r="D28" s="22"/>
      <c r="E28" s="22"/>
      <c r="F28" s="23"/>
    </row>
    <row r="29">
      <c r="A29" s="62">
        <f t="shared" si="1"/>
        <v>25</v>
      </c>
      <c r="B29" s="64" t="s">
        <v>79</v>
      </c>
      <c r="C29" s="22" t="s">
        <v>70</v>
      </c>
      <c r="D29" s="22"/>
      <c r="E29" s="22"/>
      <c r="F29" s="23"/>
    </row>
    <row r="30">
      <c r="A30" s="62">
        <f t="shared" si="1"/>
        <v>26</v>
      </c>
      <c r="B30" s="64" t="s">
        <v>80</v>
      </c>
      <c r="C30" s="22" t="s">
        <v>70</v>
      </c>
      <c r="D30" s="22"/>
      <c r="E30" s="22"/>
      <c r="F30" s="23"/>
    </row>
    <row r="31">
      <c r="A31" s="62">
        <f t="shared" si="1"/>
        <v>27</v>
      </c>
      <c r="B31" s="67" t="s">
        <v>81</v>
      </c>
      <c r="C31" s="22" t="s">
        <v>70</v>
      </c>
      <c r="D31" s="22"/>
      <c r="E31" s="22"/>
      <c r="F31" s="23"/>
    </row>
    <row r="32">
      <c r="A32" s="62">
        <f t="shared" si="1"/>
        <v>28</v>
      </c>
      <c r="B32" s="67" t="s">
        <v>84</v>
      </c>
      <c r="C32" s="22" t="s">
        <v>70</v>
      </c>
      <c r="D32" s="22"/>
      <c r="E32" s="22"/>
      <c r="F32" s="23"/>
    </row>
    <row r="33">
      <c r="A33" s="72">
        <v>29.0</v>
      </c>
      <c r="B33" s="67" t="s">
        <v>88</v>
      </c>
      <c r="C33" s="22" t="s">
        <v>70</v>
      </c>
      <c r="D33" s="46" t="s">
        <v>89</v>
      </c>
      <c r="E33" s="22"/>
      <c r="F33" s="23"/>
    </row>
    <row r="34">
      <c r="A34" s="62">
        <f t="shared" ref="A34:A40" si="2">A33+1</f>
        <v>30</v>
      </c>
      <c r="B34" s="64" t="s">
        <v>90</v>
      </c>
      <c r="C34" s="22" t="s">
        <v>70</v>
      </c>
      <c r="D34" s="46" t="s">
        <v>89</v>
      </c>
      <c r="E34" s="22"/>
      <c r="F34" s="23"/>
    </row>
    <row r="35">
      <c r="A35" s="62">
        <f t="shared" si="2"/>
        <v>31</v>
      </c>
      <c r="B35" s="64" t="s">
        <v>92</v>
      </c>
      <c r="C35" s="22" t="s">
        <v>70</v>
      </c>
      <c r="D35" s="22"/>
      <c r="E35" s="22"/>
      <c r="F35" s="23"/>
    </row>
    <row r="36">
      <c r="A36" s="62">
        <f t="shared" si="2"/>
        <v>32</v>
      </c>
      <c r="B36" s="64" t="s">
        <v>93</v>
      </c>
      <c r="C36" s="22" t="s">
        <v>70</v>
      </c>
      <c r="D36" s="22"/>
      <c r="E36" s="22"/>
      <c r="F36" s="23"/>
    </row>
    <row r="37">
      <c r="A37" s="62">
        <f t="shared" si="2"/>
        <v>33</v>
      </c>
      <c r="B37" s="75" t="s">
        <v>94</v>
      </c>
      <c r="C37" s="27" t="s">
        <v>95</v>
      </c>
      <c r="D37" s="22"/>
      <c r="E37" s="22"/>
      <c r="F37" s="23"/>
    </row>
    <row r="38">
      <c r="A38" s="62">
        <f t="shared" si="2"/>
        <v>34</v>
      </c>
      <c r="B38" s="76" t="s">
        <v>97</v>
      </c>
      <c r="C38" s="27" t="s">
        <v>95</v>
      </c>
      <c r="D38" s="22"/>
      <c r="E38" s="22"/>
      <c r="F38" s="23"/>
    </row>
    <row r="39">
      <c r="A39" s="62">
        <f t="shared" si="2"/>
        <v>35</v>
      </c>
      <c r="B39" s="63" t="s">
        <v>73</v>
      </c>
      <c r="C39" s="27" t="s">
        <v>98</v>
      </c>
      <c r="D39" s="22"/>
      <c r="E39" s="22"/>
      <c r="F39" s="23"/>
    </row>
    <row r="40">
      <c r="A40" s="62">
        <f t="shared" si="2"/>
        <v>36</v>
      </c>
      <c r="B40" s="67" t="s">
        <v>99</v>
      </c>
      <c r="C40" s="27" t="s">
        <v>95</v>
      </c>
      <c r="D40" s="22"/>
      <c r="E40" s="22"/>
      <c r="F40" s="23"/>
    </row>
    <row r="41">
      <c r="A41" s="2"/>
      <c r="B41" s="2"/>
      <c r="C41" s="2"/>
      <c r="D41" s="2"/>
      <c r="E41" s="2"/>
    </row>
    <row r="42">
      <c r="A42" s="1" t="s">
        <v>100</v>
      </c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7" t="s">
        <v>6</v>
      </c>
      <c r="B45" s="9" t="s">
        <v>102</v>
      </c>
      <c r="C45" s="11" t="s">
        <v>10</v>
      </c>
      <c r="D45" s="11" t="s">
        <v>103</v>
      </c>
      <c r="E45" s="16" t="s">
        <v>14</v>
      </c>
    </row>
    <row r="46">
      <c r="A46" s="50">
        <v>1.0</v>
      </c>
      <c r="B46" s="81" t="s">
        <v>104</v>
      </c>
      <c r="C46" s="22" t="s">
        <v>70</v>
      </c>
      <c r="D46" s="49"/>
      <c r="E46" s="49"/>
    </row>
    <row r="47">
      <c r="A47" s="50">
        <f t="shared" ref="A47:A56" si="3">A46+1</f>
        <v>2</v>
      </c>
      <c r="B47" s="37" t="s">
        <v>105</v>
      </c>
      <c r="C47" s="49" t="s">
        <v>55</v>
      </c>
      <c r="D47" s="49"/>
      <c r="E47" s="49"/>
    </row>
    <row r="48">
      <c r="A48" s="50">
        <f t="shared" si="3"/>
        <v>3</v>
      </c>
      <c r="B48" s="87" t="s">
        <v>107</v>
      </c>
      <c r="C48" s="49" t="s">
        <v>65</v>
      </c>
      <c r="D48" s="49"/>
      <c r="E48" s="49"/>
    </row>
    <row r="49">
      <c r="A49" s="50">
        <f t="shared" si="3"/>
        <v>4</v>
      </c>
      <c r="B49" s="88" t="s">
        <v>108</v>
      </c>
      <c r="C49" s="90" t="s">
        <v>109</v>
      </c>
      <c r="D49" s="90"/>
      <c r="E49" s="49"/>
    </row>
    <row r="50">
      <c r="A50" s="50">
        <f t="shared" si="3"/>
        <v>5</v>
      </c>
      <c r="B50" s="91" t="s">
        <v>110</v>
      </c>
      <c r="C50" s="90" t="s">
        <v>30</v>
      </c>
      <c r="D50" s="90"/>
      <c r="E50" s="49"/>
    </row>
    <row r="51">
      <c r="A51" s="50">
        <f t="shared" si="3"/>
        <v>6</v>
      </c>
      <c r="B51" s="92" t="s">
        <v>111</v>
      </c>
      <c r="C51" s="90" t="s">
        <v>30</v>
      </c>
      <c r="D51" s="90"/>
      <c r="E51" s="49"/>
    </row>
    <row r="52">
      <c r="A52" s="50">
        <f t="shared" si="3"/>
        <v>7</v>
      </c>
      <c r="B52" s="93" t="s">
        <v>112</v>
      </c>
      <c r="C52" s="90" t="s">
        <v>30</v>
      </c>
      <c r="D52" s="90"/>
      <c r="E52" s="49"/>
    </row>
    <row r="53">
      <c r="A53" s="50">
        <f t="shared" si="3"/>
        <v>8</v>
      </c>
      <c r="B53" s="96" t="s">
        <v>114</v>
      </c>
      <c r="C53" s="90" t="s">
        <v>30</v>
      </c>
      <c r="D53" s="90"/>
      <c r="E53" s="49"/>
    </row>
    <row r="54">
      <c r="A54" s="50">
        <f t="shared" si="3"/>
        <v>9</v>
      </c>
      <c r="B54" s="97" t="s">
        <v>115</v>
      </c>
      <c r="C54" s="90" t="s">
        <v>30</v>
      </c>
      <c r="D54" s="90"/>
      <c r="E54" s="49"/>
    </row>
    <row r="55">
      <c r="A55" s="50">
        <f t="shared" si="3"/>
        <v>10</v>
      </c>
      <c r="B55" s="49"/>
      <c r="C55" s="49"/>
      <c r="D55" s="49"/>
      <c r="E55" s="49"/>
    </row>
    <row r="56">
      <c r="A56" s="50">
        <f t="shared" si="3"/>
        <v>11</v>
      </c>
      <c r="B56" s="49"/>
      <c r="C56" s="49"/>
      <c r="D56" s="49"/>
      <c r="E56" s="49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1" t="s">
        <v>116</v>
      </c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50" t="s">
        <v>6</v>
      </c>
      <c r="B62" s="9" t="s">
        <v>8</v>
      </c>
      <c r="C62" s="11" t="s">
        <v>10</v>
      </c>
      <c r="D62" s="11" t="s">
        <v>103</v>
      </c>
      <c r="E62" s="16" t="s">
        <v>14</v>
      </c>
    </row>
    <row r="63">
      <c r="A63" s="50">
        <v>1.0</v>
      </c>
      <c r="B63" s="42" t="s">
        <v>117</v>
      </c>
      <c r="C63" s="22" t="s">
        <v>70</v>
      </c>
      <c r="D63" s="49"/>
      <c r="E63" s="49"/>
    </row>
    <row r="64">
      <c r="A64" s="50">
        <f t="shared" ref="A64:A74" si="4">A63+1</f>
        <v>2</v>
      </c>
      <c r="B64" s="42" t="s">
        <v>119</v>
      </c>
      <c r="C64" s="49" t="s">
        <v>65</v>
      </c>
      <c r="D64" s="49"/>
      <c r="E64" s="49"/>
    </row>
    <row r="65">
      <c r="A65" s="50">
        <f t="shared" si="4"/>
        <v>3</v>
      </c>
      <c r="B65" s="100" t="s">
        <v>120</v>
      </c>
      <c r="C65" s="49" t="s">
        <v>109</v>
      </c>
      <c r="D65" s="49"/>
      <c r="E65" s="49"/>
    </row>
    <row r="66">
      <c r="A66" s="50">
        <f t="shared" si="4"/>
        <v>4</v>
      </c>
      <c r="B66" s="49" t="s">
        <v>123</v>
      </c>
      <c r="C66" s="22" t="s">
        <v>70</v>
      </c>
      <c r="D66" s="49"/>
      <c r="E66" s="49"/>
    </row>
    <row r="67">
      <c r="A67" s="50">
        <f t="shared" si="4"/>
        <v>5</v>
      </c>
      <c r="B67" s="49" t="s">
        <v>124</v>
      </c>
      <c r="C67" s="22" t="s">
        <v>70</v>
      </c>
      <c r="D67" s="49"/>
      <c r="E67" s="49"/>
    </row>
    <row r="68">
      <c r="A68" s="50">
        <f t="shared" si="4"/>
        <v>6</v>
      </c>
      <c r="B68" s="49" t="s">
        <v>125</v>
      </c>
      <c r="C68" s="22" t="s">
        <v>70</v>
      </c>
      <c r="D68" s="49"/>
      <c r="E68" s="49"/>
    </row>
    <row r="69">
      <c r="A69" s="50">
        <f t="shared" si="4"/>
        <v>7</v>
      </c>
      <c r="B69" s="100" t="s">
        <v>126</v>
      </c>
      <c r="C69" s="22" t="s">
        <v>109</v>
      </c>
      <c r="D69" s="49"/>
      <c r="E69" s="49"/>
    </row>
    <row r="70">
      <c r="A70" s="50">
        <f t="shared" si="4"/>
        <v>8</v>
      </c>
      <c r="B70" s="49" t="s">
        <v>127</v>
      </c>
      <c r="C70" s="22" t="s">
        <v>70</v>
      </c>
      <c r="D70" s="49"/>
      <c r="E70" s="49"/>
    </row>
    <row r="71">
      <c r="A71" s="50">
        <f t="shared" si="4"/>
        <v>9</v>
      </c>
      <c r="B71" s="100" t="s">
        <v>128</v>
      </c>
      <c r="C71" s="49"/>
      <c r="D71" s="49"/>
      <c r="E71" s="49"/>
    </row>
    <row r="72">
      <c r="A72" s="50">
        <f t="shared" si="4"/>
        <v>10</v>
      </c>
      <c r="B72" s="42" t="s">
        <v>129</v>
      </c>
      <c r="C72" s="49"/>
      <c r="D72" s="49"/>
      <c r="E72" s="49"/>
    </row>
    <row r="73">
      <c r="A73" s="50">
        <f t="shared" si="4"/>
        <v>11</v>
      </c>
      <c r="B73" s="100" t="s">
        <v>120</v>
      </c>
      <c r="C73" s="49"/>
      <c r="D73" s="49"/>
      <c r="E73" s="49"/>
    </row>
    <row r="74">
      <c r="A74" s="50">
        <f t="shared" si="4"/>
        <v>12</v>
      </c>
      <c r="B74" s="42"/>
      <c r="C74" s="49"/>
      <c r="D74" s="49"/>
      <c r="E74" s="49"/>
    </row>
  </sheetData>
  <mergeCells count="3">
    <mergeCell ref="A1:E1"/>
    <mergeCell ref="A42:E42"/>
    <mergeCell ref="A59:E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3.38"/>
    <col customWidth="1" min="8" max="8" width="3.25"/>
    <col customWidth="1" min="9" max="9" width="43.38"/>
  </cols>
  <sheetData>
    <row r="1">
      <c r="A1" s="1" t="s">
        <v>1</v>
      </c>
    </row>
    <row r="2">
      <c r="D2" s="5"/>
      <c r="F2" s="6"/>
    </row>
    <row r="3">
      <c r="A3" s="4" t="s">
        <v>7</v>
      </c>
      <c r="H3" s="8" t="s">
        <v>9</v>
      </c>
      <c r="I3" s="10"/>
      <c r="J3" s="10"/>
      <c r="K3" s="10"/>
      <c r="L3" s="13"/>
    </row>
    <row r="4">
      <c r="A4" s="15" t="s">
        <v>13</v>
      </c>
      <c r="B4" s="17" t="s">
        <v>16</v>
      </c>
      <c r="C4" s="20" t="s">
        <v>18</v>
      </c>
      <c r="D4" s="10"/>
      <c r="E4" s="13"/>
      <c r="F4" s="18" t="s">
        <v>22</v>
      </c>
      <c r="H4" s="15" t="s">
        <v>13</v>
      </c>
      <c r="I4" s="17" t="s">
        <v>16</v>
      </c>
      <c r="J4" s="24" t="s">
        <v>23</v>
      </c>
      <c r="K4" s="26" t="s">
        <v>24</v>
      </c>
      <c r="L4" s="28" t="s">
        <v>27</v>
      </c>
    </row>
    <row r="5">
      <c r="A5" s="31">
        <v>1.0</v>
      </c>
      <c r="B5" s="32" t="s">
        <v>20</v>
      </c>
      <c r="C5" s="33" t="s">
        <v>39</v>
      </c>
      <c r="D5" s="10"/>
      <c r="E5" s="13"/>
      <c r="F5" s="36" t="s">
        <v>42</v>
      </c>
      <c r="H5" s="31">
        <v>1.0</v>
      </c>
      <c r="I5" s="32" t="s">
        <v>20</v>
      </c>
      <c r="J5" s="38" t="s">
        <v>44</v>
      </c>
      <c r="K5" s="41">
        <v>1.55</v>
      </c>
      <c r="L5" s="43" t="s">
        <v>46</v>
      </c>
    </row>
    <row r="6">
      <c r="A6" s="31">
        <f t="shared" ref="A6:A21" si="1">A5+1</f>
        <v>2</v>
      </c>
      <c r="B6" s="32" t="s">
        <v>47</v>
      </c>
      <c r="C6" s="33" t="s">
        <v>50</v>
      </c>
      <c r="D6" s="10"/>
      <c r="E6" s="13"/>
      <c r="F6" s="36" t="s">
        <v>42</v>
      </c>
      <c r="H6" s="31">
        <f t="shared" ref="H6:H8" si="2">H5+1</f>
        <v>2</v>
      </c>
      <c r="I6" s="32" t="s">
        <v>47</v>
      </c>
      <c r="J6" s="38" t="s">
        <v>44</v>
      </c>
      <c r="K6" s="51">
        <f>25/110</f>
        <v>0.2272727273</v>
      </c>
      <c r="L6" s="53" t="s">
        <v>62</v>
      </c>
    </row>
    <row r="7">
      <c r="A7" s="52">
        <f t="shared" si="1"/>
        <v>3</v>
      </c>
      <c r="B7" s="55" t="s">
        <v>63</v>
      </c>
      <c r="C7" s="33" t="s">
        <v>39</v>
      </c>
      <c r="D7" s="10"/>
      <c r="E7" s="13"/>
      <c r="F7" s="36" t="s">
        <v>42</v>
      </c>
      <c r="H7" s="52">
        <f t="shared" si="2"/>
        <v>3</v>
      </c>
      <c r="I7" s="55" t="s">
        <v>63</v>
      </c>
      <c r="J7" s="57"/>
      <c r="K7" s="51">
        <f>1/3</f>
        <v>0.3333333333</v>
      </c>
      <c r="L7" s="61" t="s">
        <v>68</v>
      </c>
    </row>
    <row r="8">
      <c r="A8" s="60">
        <f t="shared" si="1"/>
        <v>4</v>
      </c>
      <c r="B8" s="63" t="s">
        <v>82</v>
      </c>
      <c r="C8" s="33" t="s">
        <v>85</v>
      </c>
      <c r="D8" s="10"/>
      <c r="E8" s="13"/>
      <c r="F8" s="36" t="s">
        <v>42</v>
      </c>
      <c r="H8" s="60">
        <f t="shared" si="2"/>
        <v>4</v>
      </c>
      <c r="I8" s="63" t="s">
        <v>77</v>
      </c>
      <c r="J8" s="38" t="s">
        <v>78</v>
      </c>
      <c r="K8" s="65">
        <v>1.0</v>
      </c>
      <c r="L8" s="61" t="s">
        <v>68</v>
      </c>
    </row>
    <row r="9">
      <c r="A9" s="60">
        <f t="shared" si="1"/>
        <v>5</v>
      </c>
      <c r="B9" s="37" t="s">
        <v>48</v>
      </c>
      <c r="C9" s="33" t="s">
        <v>51</v>
      </c>
      <c r="D9" s="10"/>
      <c r="E9" s="13"/>
      <c r="F9" s="36" t="s">
        <v>42</v>
      </c>
      <c r="H9" s="66">
        <v>5.0</v>
      </c>
      <c r="I9" s="69" t="s">
        <v>54</v>
      </c>
      <c r="J9" s="70"/>
      <c r="K9" s="41">
        <v>0.8</v>
      </c>
      <c r="L9" s="61" t="s">
        <v>96</v>
      </c>
    </row>
    <row r="10">
      <c r="A10" s="60">
        <f t="shared" si="1"/>
        <v>6</v>
      </c>
      <c r="B10" s="37" t="s">
        <v>52</v>
      </c>
      <c r="C10" s="33" t="s">
        <v>87</v>
      </c>
      <c r="D10" s="10"/>
      <c r="E10" s="13"/>
      <c r="F10" s="36" t="s">
        <v>42</v>
      </c>
      <c r="H10" s="73">
        <f t="shared" ref="H10:H19" si="3">H9+1</f>
        <v>6</v>
      </c>
      <c r="I10" s="74" t="s">
        <v>64</v>
      </c>
      <c r="J10" s="57"/>
      <c r="K10" s="65">
        <v>1.0</v>
      </c>
      <c r="L10" s="61" t="s">
        <v>68</v>
      </c>
    </row>
    <row r="11">
      <c r="A11" s="60">
        <f t="shared" si="1"/>
        <v>7</v>
      </c>
      <c r="B11" s="82" t="s">
        <v>54</v>
      </c>
      <c r="C11" s="33"/>
      <c r="D11" s="10"/>
      <c r="E11" s="13"/>
      <c r="F11" s="36" t="s">
        <v>42</v>
      </c>
      <c r="H11" s="73">
        <f t="shared" si="3"/>
        <v>7</v>
      </c>
      <c r="I11" s="74" t="s">
        <v>66</v>
      </c>
      <c r="J11" s="57"/>
      <c r="K11" s="71">
        <v>4.0</v>
      </c>
      <c r="L11" s="61" t="s">
        <v>68</v>
      </c>
    </row>
    <row r="12">
      <c r="A12" s="73">
        <f t="shared" si="1"/>
        <v>8</v>
      </c>
      <c r="B12" s="74" t="s">
        <v>64</v>
      </c>
      <c r="C12" s="33"/>
      <c r="D12" s="10"/>
      <c r="E12" s="13"/>
      <c r="F12" s="36" t="s">
        <v>42</v>
      </c>
      <c r="H12" s="89">
        <f t="shared" si="3"/>
        <v>8</v>
      </c>
      <c r="I12" s="80" t="s">
        <v>69</v>
      </c>
      <c r="J12" s="57"/>
      <c r="K12" s="41">
        <v>0.16</v>
      </c>
      <c r="L12" s="61" t="s">
        <v>96</v>
      </c>
    </row>
    <row r="13">
      <c r="A13" s="73">
        <f t="shared" si="1"/>
        <v>9</v>
      </c>
      <c r="B13" s="74" t="s">
        <v>66</v>
      </c>
      <c r="C13" s="33"/>
      <c r="D13" s="10"/>
      <c r="E13" s="13"/>
      <c r="F13" s="36" t="s">
        <v>42</v>
      </c>
      <c r="H13" s="89">
        <f t="shared" si="3"/>
        <v>9</v>
      </c>
      <c r="I13" s="80" t="s">
        <v>71</v>
      </c>
      <c r="J13" s="57"/>
      <c r="K13" s="41">
        <v>0.26</v>
      </c>
      <c r="L13" s="61" t="s">
        <v>96</v>
      </c>
    </row>
    <row r="14">
      <c r="A14" s="89">
        <f t="shared" si="1"/>
        <v>10</v>
      </c>
      <c r="B14" s="80" t="s">
        <v>69</v>
      </c>
      <c r="C14" s="33"/>
      <c r="D14" s="10"/>
      <c r="E14" s="13"/>
      <c r="F14" s="36" t="s">
        <v>42</v>
      </c>
      <c r="H14" s="83">
        <f t="shared" si="3"/>
        <v>10</v>
      </c>
      <c r="I14" s="84" t="s">
        <v>75</v>
      </c>
      <c r="J14" s="57"/>
      <c r="K14" s="41">
        <v>5.0</v>
      </c>
      <c r="L14" s="43" t="s">
        <v>68</v>
      </c>
    </row>
    <row r="15">
      <c r="A15" s="89">
        <f t="shared" si="1"/>
        <v>11</v>
      </c>
      <c r="B15" s="80" t="s">
        <v>71</v>
      </c>
      <c r="C15" s="33"/>
      <c r="D15" s="10"/>
      <c r="E15" s="13"/>
      <c r="F15" s="36" t="s">
        <v>42</v>
      </c>
      <c r="H15" s="83">
        <f t="shared" si="3"/>
        <v>11</v>
      </c>
      <c r="I15" s="84" t="s">
        <v>76</v>
      </c>
      <c r="J15" s="57"/>
      <c r="K15" s="41">
        <v>2.5</v>
      </c>
      <c r="L15" s="61" t="s">
        <v>96</v>
      </c>
    </row>
    <row r="16">
      <c r="A16" s="83">
        <f t="shared" si="1"/>
        <v>12</v>
      </c>
      <c r="B16" s="84" t="s">
        <v>75</v>
      </c>
      <c r="C16" s="33"/>
      <c r="D16" s="10"/>
      <c r="E16" s="13"/>
      <c r="F16" s="36" t="s">
        <v>42</v>
      </c>
      <c r="H16" s="83">
        <f t="shared" si="3"/>
        <v>12</v>
      </c>
      <c r="I16" s="84" t="s">
        <v>79</v>
      </c>
      <c r="J16" s="57"/>
      <c r="K16" s="71">
        <v>4.0</v>
      </c>
      <c r="L16" s="61" t="s">
        <v>68</v>
      </c>
    </row>
    <row r="17">
      <c r="A17" s="83">
        <f t="shared" si="1"/>
        <v>13</v>
      </c>
      <c r="B17" s="84" t="s">
        <v>76</v>
      </c>
      <c r="C17" s="33"/>
      <c r="D17" s="10"/>
      <c r="E17" s="13"/>
      <c r="F17" s="36" t="s">
        <v>42</v>
      </c>
      <c r="H17" s="83">
        <f t="shared" si="3"/>
        <v>13</v>
      </c>
      <c r="I17" s="84" t="s">
        <v>80</v>
      </c>
      <c r="J17" s="57"/>
      <c r="K17" s="41">
        <v>0.1</v>
      </c>
      <c r="L17" s="43" t="s">
        <v>96</v>
      </c>
    </row>
    <row r="18">
      <c r="A18" s="83">
        <f t="shared" si="1"/>
        <v>14</v>
      </c>
      <c r="B18" s="84" t="s">
        <v>79</v>
      </c>
      <c r="C18" s="33"/>
      <c r="D18" s="10"/>
      <c r="E18" s="13"/>
      <c r="F18" s="36" t="s">
        <v>42</v>
      </c>
      <c r="H18" s="83">
        <f t="shared" si="3"/>
        <v>14</v>
      </c>
      <c r="I18" s="94" t="s">
        <v>118</v>
      </c>
      <c r="J18" s="57"/>
      <c r="K18" s="71">
        <v>8.0</v>
      </c>
      <c r="L18" s="43" t="s">
        <v>68</v>
      </c>
    </row>
    <row r="19">
      <c r="A19" s="83">
        <f t="shared" si="1"/>
        <v>15</v>
      </c>
      <c r="B19" s="84" t="s">
        <v>80</v>
      </c>
      <c r="C19" s="33"/>
      <c r="D19" s="10"/>
      <c r="E19" s="13"/>
      <c r="F19" s="36" t="s">
        <v>42</v>
      </c>
      <c r="H19" s="83">
        <f t="shared" si="3"/>
        <v>15</v>
      </c>
      <c r="I19" s="94" t="s">
        <v>121</v>
      </c>
      <c r="J19" s="57"/>
      <c r="K19" s="71">
        <v>1.0</v>
      </c>
      <c r="L19" s="43" t="s">
        <v>68</v>
      </c>
    </row>
    <row r="20">
      <c r="A20" s="83">
        <f t="shared" si="1"/>
        <v>16</v>
      </c>
      <c r="B20" s="94" t="s">
        <v>118</v>
      </c>
      <c r="C20" s="33"/>
      <c r="D20" s="10"/>
      <c r="E20" s="13"/>
      <c r="F20" s="36" t="s">
        <v>42</v>
      </c>
      <c r="H20" s="83">
        <f>H18+1</f>
        <v>15</v>
      </c>
      <c r="I20" s="94" t="s">
        <v>88</v>
      </c>
      <c r="J20" s="38" t="s">
        <v>44</v>
      </c>
      <c r="K20" s="98">
        <v>1.0</v>
      </c>
      <c r="L20" s="43" t="s">
        <v>68</v>
      </c>
    </row>
    <row r="21">
      <c r="A21" s="83">
        <f t="shared" si="1"/>
        <v>17</v>
      </c>
      <c r="B21" s="94" t="s">
        <v>121</v>
      </c>
      <c r="C21" s="33"/>
      <c r="D21" s="10"/>
      <c r="E21" s="13"/>
      <c r="F21" s="36" t="s">
        <v>42</v>
      </c>
      <c r="H21" s="83">
        <f t="shared" ref="H21:H23" si="4">H20+1</f>
        <v>16</v>
      </c>
      <c r="I21" s="84" t="s">
        <v>90</v>
      </c>
      <c r="J21" s="38" t="s">
        <v>44</v>
      </c>
      <c r="K21" s="71">
        <v>1.0</v>
      </c>
      <c r="L21" s="43" t="s">
        <v>68</v>
      </c>
    </row>
    <row r="22">
      <c r="A22" s="83">
        <f>A20+1</f>
        <v>17</v>
      </c>
      <c r="B22" s="84" t="s">
        <v>122</v>
      </c>
      <c r="C22" s="33" t="s">
        <v>89</v>
      </c>
      <c r="D22" s="10"/>
      <c r="E22" s="13"/>
      <c r="F22" s="36" t="s">
        <v>42</v>
      </c>
      <c r="H22" s="83">
        <f t="shared" si="4"/>
        <v>17</v>
      </c>
      <c r="I22" s="84" t="s">
        <v>92</v>
      </c>
      <c r="J22" s="57"/>
      <c r="K22" s="71">
        <v>1.0</v>
      </c>
      <c r="L22" s="43" t="s">
        <v>68</v>
      </c>
    </row>
    <row r="23">
      <c r="A23" s="83">
        <f t="shared" ref="A23:A31" si="5">A22+1</f>
        <v>18</v>
      </c>
      <c r="B23" s="84" t="s">
        <v>90</v>
      </c>
      <c r="C23" s="33" t="s">
        <v>89</v>
      </c>
      <c r="D23" s="10"/>
      <c r="E23" s="13"/>
      <c r="F23" s="36" t="s">
        <v>133</v>
      </c>
      <c r="H23" s="83">
        <f t="shared" si="4"/>
        <v>18</v>
      </c>
      <c r="I23" s="84" t="s">
        <v>93</v>
      </c>
      <c r="J23" s="57"/>
      <c r="K23" s="71">
        <v>1.0</v>
      </c>
      <c r="L23" s="43" t="s">
        <v>68</v>
      </c>
    </row>
    <row r="24">
      <c r="A24" s="83">
        <f t="shared" si="5"/>
        <v>19</v>
      </c>
      <c r="B24" s="84" t="s">
        <v>92</v>
      </c>
      <c r="C24" s="33"/>
      <c r="D24" s="10"/>
      <c r="E24" s="13"/>
      <c r="F24" s="36" t="s">
        <v>133</v>
      </c>
      <c r="H24" s="104">
        <v>19.0</v>
      </c>
      <c r="I24" s="102" t="s">
        <v>123</v>
      </c>
      <c r="J24" s="57"/>
      <c r="K24" s="71">
        <v>1.0</v>
      </c>
      <c r="L24" s="43" t="s">
        <v>68</v>
      </c>
    </row>
    <row r="25">
      <c r="A25" s="83">
        <f t="shared" si="5"/>
        <v>20</v>
      </c>
      <c r="B25" s="84" t="s">
        <v>93</v>
      </c>
      <c r="C25" s="33"/>
      <c r="D25" s="10"/>
      <c r="E25" s="13"/>
      <c r="F25" s="36" t="s">
        <v>133</v>
      </c>
      <c r="H25" s="104">
        <v>20.0</v>
      </c>
      <c r="I25" s="102" t="s">
        <v>124</v>
      </c>
      <c r="J25" s="57"/>
      <c r="K25" s="71">
        <v>1.0</v>
      </c>
      <c r="L25" s="43" t="s">
        <v>68</v>
      </c>
    </row>
    <row r="26">
      <c r="A26" s="83">
        <f t="shared" si="5"/>
        <v>21</v>
      </c>
      <c r="B26" s="102" t="s">
        <v>123</v>
      </c>
      <c r="C26" s="33"/>
      <c r="D26" s="10"/>
      <c r="E26" s="13"/>
      <c r="F26" s="36" t="s">
        <v>42</v>
      </c>
      <c r="H26" s="104">
        <v>21.0</v>
      </c>
      <c r="I26" s="102" t="s">
        <v>125</v>
      </c>
      <c r="J26" s="57"/>
      <c r="K26" s="71">
        <v>1.0</v>
      </c>
      <c r="L26" s="43" t="s">
        <v>68</v>
      </c>
    </row>
    <row r="27">
      <c r="A27" s="83">
        <f t="shared" si="5"/>
        <v>22</v>
      </c>
      <c r="B27" s="102" t="s">
        <v>124</v>
      </c>
      <c r="C27" s="33"/>
      <c r="D27" s="10"/>
      <c r="E27" s="13"/>
      <c r="F27" s="36" t="s">
        <v>42</v>
      </c>
      <c r="H27" s="101">
        <f t="shared" ref="H27:H29" si="6">H26+1</f>
        <v>22</v>
      </c>
      <c r="I27" s="106" t="s">
        <v>127</v>
      </c>
      <c r="J27" s="57"/>
      <c r="K27" s="71">
        <v>1.0</v>
      </c>
      <c r="L27" s="43" t="s">
        <v>68</v>
      </c>
    </row>
    <row r="28">
      <c r="A28" s="83">
        <f t="shared" si="5"/>
        <v>23</v>
      </c>
      <c r="B28" s="102" t="s">
        <v>125</v>
      </c>
      <c r="C28" s="33"/>
      <c r="D28" s="10"/>
      <c r="E28" s="13"/>
      <c r="F28" s="36" t="s">
        <v>42</v>
      </c>
      <c r="H28" s="101">
        <f t="shared" si="6"/>
        <v>23</v>
      </c>
      <c r="I28" s="42" t="s">
        <v>119</v>
      </c>
      <c r="J28" s="57"/>
      <c r="K28" s="71">
        <v>1.0</v>
      </c>
      <c r="L28" s="43" t="s">
        <v>68</v>
      </c>
    </row>
    <row r="29">
      <c r="A29" s="83">
        <f t="shared" si="5"/>
        <v>24</v>
      </c>
      <c r="B29" s="106" t="s">
        <v>127</v>
      </c>
      <c r="C29" s="33"/>
      <c r="D29" s="10"/>
      <c r="E29" s="13"/>
      <c r="F29" s="36" t="s">
        <v>133</v>
      </c>
      <c r="H29" s="101">
        <f t="shared" si="6"/>
        <v>24</v>
      </c>
      <c r="I29" s="42" t="s">
        <v>117</v>
      </c>
      <c r="J29" s="57"/>
      <c r="K29" s="71">
        <v>1.0</v>
      </c>
      <c r="L29" s="43" t="s">
        <v>68</v>
      </c>
    </row>
    <row r="30">
      <c r="A30" s="83">
        <f t="shared" si="5"/>
        <v>25</v>
      </c>
      <c r="B30" s="42" t="s">
        <v>119</v>
      </c>
      <c r="C30" s="33"/>
      <c r="D30" s="10"/>
      <c r="E30" s="13"/>
      <c r="F30" s="36" t="s">
        <v>137</v>
      </c>
    </row>
    <row r="31">
      <c r="A31" s="83">
        <f t="shared" si="5"/>
        <v>26</v>
      </c>
      <c r="B31" s="42" t="s">
        <v>117</v>
      </c>
      <c r="C31" s="33"/>
      <c r="D31" s="10"/>
      <c r="E31" s="13"/>
      <c r="F31" s="36" t="s">
        <v>137</v>
      </c>
    </row>
    <row r="32">
      <c r="D32" s="5"/>
      <c r="F32" s="6"/>
    </row>
    <row r="33">
      <c r="D33" s="5"/>
      <c r="F33" s="6"/>
    </row>
    <row r="34">
      <c r="D34" s="5"/>
      <c r="F34" s="6"/>
    </row>
    <row r="35">
      <c r="A35" s="8" t="s">
        <v>138</v>
      </c>
      <c r="B35" s="10"/>
      <c r="C35" s="10"/>
      <c r="D35" s="10"/>
      <c r="E35" s="13"/>
      <c r="F35" s="6"/>
      <c r="H35" s="8" t="s">
        <v>139</v>
      </c>
      <c r="I35" s="10"/>
      <c r="J35" s="10"/>
      <c r="K35" s="10"/>
      <c r="L35" s="13"/>
    </row>
    <row r="36">
      <c r="A36" s="15" t="s">
        <v>13</v>
      </c>
      <c r="B36" s="17" t="s">
        <v>16</v>
      </c>
      <c r="C36" s="24" t="s">
        <v>23</v>
      </c>
      <c r="D36" s="24" t="s">
        <v>24</v>
      </c>
      <c r="E36" s="28" t="s">
        <v>27</v>
      </c>
      <c r="F36" s="6"/>
      <c r="H36" s="15" t="s">
        <v>13</v>
      </c>
      <c r="I36" s="17" t="s">
        <v>16</v>
      </c>
      <c r="J36" s="24" t="s">
        <v>23</v>
      </c>
      <c r="K36" s="26" t="s">
        <v>24</v>
      </c>
      <c r="L36" s="28" t="s">
        <v>27</v>
      </c>
    </row>
    <row r="37">
      <c r="A37" s="31">
        <v>1.0</v>
      </c>
      <c r="B37" s="32" t="s">
        <v>20</v>
      </c>
      <c r="C37" s="38" t="s">
        <v>135</v>
      </c>
      <c r="D37" s="41">
        <v>1.6</v>
      </c>
      <c r="E37" s="43" t="s">
        <v>46</v>
      </c>
      <c r="F37" s="6"/>
      <c r="H37" s="31">
        <v>1.0</v>
      </c>
      <c r="I37" s="32" t="s">
        <v>20</v>
      </c>
      <c r="J37" s="38" t="s">
        <v>140</v>
      </c>
      <c r="K37" s="41">
        <v>1.65</v>
      </c>
      <c r="L37" s="43" t="s">
        <v>46</v>
      </c>
    </row>
    <row r="38">
      <c r="A38" s="31">
        <f t="shared" ref="A38:A39" si="7">A37+1</f>
        <v>2</v>
      </c>
      <c r="B38" s="32" t="s">
        <v>47</v>
      </c>
      <c r="C38" s="57"/>
      <c r="D38" s="51">
        <f>25/110</f>
        <v>0.2272727273</v>
      </c>
      <c r="E38" s="53" t="s">
        <v>62</v>
      </c>
      <c r="F38" s="6"/>
      <c r="H38" s="31">
        <f t="shared" ref="H38:H39" si="8">H37+1</f>
        <v>2</v>
      </c>
      <c r="I38" s="32" t="s">
        <v>47</v>
      </c>
      <c r="J38" s="57"/>
      <c r="K38" s="51">
        <f>25/110</f>
        <v>0.2272727273</v>
      </c>
      <c r="L38" s="53" t="s">
        <v>62</v>
      </c>
    </row>
    <row r="39">
      <c r="A39" s="52">
        <f t="shared" si="7"/>
        <v>3</v>
      </c>
      <c r="B39" s="55" t="s">
        <v>63</v>
      </c>
      <c r="C39" s="57"/>
      <c r="D39" s="51">
        <f>1/3</f>
        <v>0.3333333333</v>
      </c>
      <c r="E39" s="61" t="s">
        <v>68</v>
      </c>
      <c r="F39" s="6"/>
      <c r="H39" s="52">
        <f t="shared" si="8"/>
        <v>3</v>
      </c>
      <c r="I39" s="55" t="s">
        <v>63</v>
      </c>
      <c r="J39" s="57"/>
      <c r="K39" s="51">
        <f>1/3</f>
        <v>0.3333333333</v>
      </c>
      <c r="L39" s="61" t="s">
        <v>68</v>
      </c>
    </row>
    <row r="40">
      <c r="A40" s="66">
        <v>4.0</v>
      </c>
      <c r="B40" s="37" t="s">
        <v>48</v>
      </c>
      <c r="C40" s="57"/>
      <c r="D40" s="71">
        <v>1.0</v>
      </c>
      <c r="E40" s="61" t="s">
        <v>68</v>
      </c>
      <c r="F40" s="6"/>
      <c r="H40" s="66">
        <v>4.0</v>
      </c>
      <c r="I40" s="37" t="s">
        <v>48</v>
      </c>
      <c r="J40" s="57"/>
      <c r="K40" s="71">
        <v>1.0</v>
      </c>
      <c r="L40" s="61" t="s">
        <v>68</v>
      </c>
    </row>
    <row r="41">
      <c r="A41" s="66">
        <v>5.0</v>
      </c>
      <c r="B41" s="69" t="s">
        <v>54</v>
      </c>
      <c r="C41" s="70"/>
      <c r="D41" s="41">
        <v>0.8</v>
      </c>
      <c r="E41" s="61" t="s">
        <v>96</v>
      </c>
      <c r="F41" s="6"/>
      <c r="H41" s="66">
        <v>5.0</v>
      </c>
      <c r="I41" s="69" t="s">
        <v>54</v>
      </c>
      <c r="J41" s="70"/>
      <c r="K41" s="41">
        <v>0.8</v>
      </c>
      <c r="L41" s="61" t="s">
        <v>96</v>
      </c>
    </row>
    <row r="42">
      <c r="A42" s="73">
        <f t="shared" ref="A42:A51" si="9">A41+1</f>
        <v>6</v>
      </c>
      <c r="B42" s="74" t="s">
        <v>64</v>
      </c>
      <c r="C42" s="57"/>
      <c r="D42" s="65">
        <v>1.0</v>
      </c>
      <c r="E42" s="61" t="s">
        <v>68</v>
      </c>
      <c r="F42" s="6"/>
      <c r="H42" s="73">
        <f t="shared" ref="H42:H51" si="10">H41+1</f>
        <v>6</v>
      </c>
      <c r="I42" s="74" t="s">
        <v>64</v>
      </c>
      <c r="J42" s="57"/>
      <c r="K42" s="65">
        <v>1.0</v>
      </c>
      <c r="L42" s="61" t="s">
        <v>68</v>
      </c>
    </row>
    <row r="43">
      <c r="A43" s="73">
        <f t="shared" si="9"/>
        <v>7</v>
      </c>
      <c r="B43" s="74" t="s">
        <v>66</v>
      </c>
      <c r="C43" s="57"/>
      <c r="D43" s="71">
        <v>4.0</v>
      </c>
      <c r="E43" s="61" t="s">
        <v>68</v>
      </c>
      <c r="F43" s="6"/>
      <c r="H43" s="73">
        <f t="shared" si="10"/>
        <v>7</v>
      </c>
      <c r="I43" s="74" t="s">
        <v>66</v>
      </c>
      <c r="J43" s="57"/>
      <c r="K43" s="71">
        <v>4.0</v>
      </c>
      <c r="L43" s="61" t="s">
        <v>68</v>
      </c>
    </row>
    <row r="44">
      <c r="A44" s="89">
        <f t="shared" si="9"/>
        <v>8</v>
      </c>
      <c r="B44" s="80" t="s">
        <v>69</v>
      </c>
      <c r="C44" s="57"/>
      <c r="D44" s="41">
        <v>0.16</v>
      </c>
      <c r="E44" s="61" t="s">
        <v>96</v>
      </c>
      <c r="F44" s="6"/>
      <c r="H44" s="89">
        <f t="shared" si="10"/>
        <v>8</v>
      </c>
      <c r="I44" s="80" t="s">
        <v>69</v>
      </c>
      <c r="J44" s="57"/>
      <c r="K44" s="41">
        <v>0.16</v>
      </c>
      <c r="L44" s="61" t="s">
        <v>96</v>
      </c>
    </row>
    <row r="45">
      <c r="A45" s="89">
        <f t="shared" si="9"/>
        <v>9</v>
      </c>
      <c r="B45" s="80" t="s">
        <v>71</v>
      </c>
      <c r="C45" s="57"/>
      <c r="D45" s="41">
        <v>0.26</v>
      </c>
      <c r="E45" s="61" t="s">
        <v>96</v>
      </c>
      <c r="F45" s="6"/>
      <c r="H45" s="89">
        <f t="shared" si="10"/>
        <v>9</v>
      </c>
      <c r="I45" s="80" t="s">
        <v>71</v>
      </c>
      <c r="J45" s="57"/>
      <c r="K45" s="41">
        <v>0.26</v>
      </c>
      <c r="L45" s="61" t="s">
        <v>96</v>
      </c>
    </row>
    <row r="46">
      <c r="A46" s="83">
        <f t="shared" si="9"/>
        <v>10</v>
      </c>
      <c r="B46" s="84" t="s">
        <v>75</v>
      </c>
      <c r="C46" s="57"/>
      <c r="D46" s="41">
        <v>5.0</v>
      </c>
      <c r="E46" s="43" t="s">
        <v>68</v>
      </c>
      <c r="F46" s="6"/>
      <c r="H46" s="83">
        <f t="shared" si="10"/>
        <v>10</v>
      </c>
      <c r="I46" s="84" t="s">
        <v>75</v>
      </c>
      <c r="J46" s="57"/>
      <c r="K46" s="41">
        <v>5.0</v>
      </c>
      <c r="L46" s="43" t="s">
        <v>68</v>
      </c>
    </row>
    <row r="47">
      <c r="A47" s="83">
        <f t="shared" si="9"/>
        <v>11</v>
      </c>
      <c r="B47" s="84" t="s">
        <v>76</v>
      </c>
      <c r="C47" s="57"/>
      <c r="D47" s="41">
        <v>2.5</v>
      </c>
      <c r="E47" s="61" t="s">
        <v>96</v>
      </c>
      <c r="F47" s="6"/>
      <c r="H47" s="83">
        <f t="shared" si="10"/>
        <v>11</v>
      </c>
      <c r="I47" s="84" t="s">
        <v>76</v>
      </c>
      <c r="J47" s="57"/>
      <c r="K47" s="41">
        <v>2.5</v>
      </c>
      <c r="L47" s="61" t="s">
        <v>96</v>
      </c>
    </row>
    <row r="48">
      <c r="A48" s="83">
        <f t="shared" si="9"/>
        <v>12</v>
      </c>
      <c r="B48" s="84" t="s">
        <v>79</v>
      </c>
      <c r="C48" s="57"/>
      <c r="D48" s="71">
        <v>4.0</v>
      </c>
      <c r="E48" s="61" t="s">
        <v>68</v>
      </c>
      <c r="F48" s="6"/>
      <c r="H48" s="83">
        <f t="shared" si="10"/>
        <v>12</v>
      </c>
      <c r="I48" s="84" t="s">
        <v>79</v>
      </c>
      <c r="J48" s="57"/>
      <c r="K48" s="71">
        <v>4.0</v>
      </c>
      <c r="L48" s="61" t="s">
        <v>68</v>
      </c>
    </row>
    <row r="49">
      <c r="A49" s="83">
        <f t="shared" si="9"/>
        <v>13</v>
      </c>
      <c r="B49" s="84" t="s">
        <v>80</v>
      </c>
      <c r="C49" s="57"/>
      <c r="D49" s="41">
        <v>0.1</v>
      </c>
      <c r="E49" s="43" t="s">
        <v>96</v>
      </c>
      <c r="F49" s="6"/>
      <c r="H49" s="83">
        <f t="shared" si="10"/>
        <v>13</v>
      </c>
      <c r="I49" s="84" t="s">
        <v>80</v>
      </c>
      <c r="J49" s="57"/>
      <c r="K49" s="41">
        <v>0.1</v>
      </c>
      <c r="L49" s="43" t="s">
        <v>96</v>
      </c>
    </row>
    <row r="50">
      <c r="A50" s="83">
        <f t="shared" si="9"/>
        <v>14</v>
      </c>
      <c r="B50" s="94" t="s">
        <v>118</v>
      </c>
      <c r="C50" s="57"/>
      <c r="D50" s="71">
        <v>8.0</v>
      </c>
      <c r="E50" s="43" t="s">
        <v>68</v>
      </c>
      <c r="F50" s="6"/>
      <c r="H50" s="83">
        <f t="shared" si="10"/>
        <v>14</v>
      </c>
      <c r="I50" s="94" t="s">
        <v>118</v>
      </c>
      <c r="J50" s="57"/>
      <c r="K50" s="71">
        <v>8.0</v>
      </c>
      <c r="L50" s="43" t="s">
        <v>68</v>
      </c>
    </row>
    <row r="51">
      <c r="A51" s="83">
        <f t="shared" si="9"/>
        <v>15</v>
      </c>
      <c r="B51" s="94" t="s">
        <v>121</v>
      </c>
      <c r="C51" s="57"/>
      <c r="D51" s="71">
        <v>1.0</v>
      </c>
      <c r="E51" s="43" t="s">
        <v>68</v>
      </c>
      <c r="F51" s="6"/>
      <c r="H51" s="83">
        <f t="shared" si="10"/>
        <v>15</v>
      </c>
      <c r="I51" s="94" t="s">
        <v>121</v>
      </c>
      <c r="J51" s="57"/>
      <c r="K51" s="71">
        <v>1.0</v>
      </c>
      <c r="L51" s="43" t="s">
        <v>68</v>
      </c>
    </row>
    <row r="52">
      <c r="A52" s="83">
        <f>A50+1</f>
        <v>15</v>
      </c>
      <c r="B52" s="84" t="s">
        <v>122</v>
      </c>
      <c r="C52" s="38" t="s">
        <v>135</v>
      </c>
      <c r="D52" s="98">
        <v>1.0</v>
      </c>
      <c r="E52" s="43" t="s">
        <v>68</v>
      </c>
      <c r="F52" s="6"/>
      <c r="H52" s="83">
        <f>H50+1</f>
        <v>15</v>
      </c>
      <c r="I52" s="84" t="s">
        <v>122</v>
      </c>
      <c r="J52" s="38" t="s">
        <v>140</v>
      </c>
      <c r="K52" s="98">
        <v>1.0</v>
      </c>
      <c r="L52" s="43" t="s">
        <v>68</v>
      </c>
    </row>
    <row r="53">
      <c r="A53" s="83">
        <f t="shared" ref="A53:A55" si="11">A52+1</f>
        <v>16</v>
      </c>
      <c r="B53" s="84" t="s">
        <v>90</v>
      </c>
      <c r="C53" s="38" t="s">
        <v>135</v>
      </c>
      <c r="D53" s="71">
        <v>1.0</v>
      </c>
      <c r="E53" s="43" t="s">
        <v>68</v>
      </c>
      <c r="F53" s="6"/>
      <c r="H53" s="83">
        <f t="shared" ref="H53:H55" si="12">H52+1</f>
        <v>16</v>
      </c>
      <c r="I53" s="84" t="s">
        <v>90</v>
      </c>
      <c r="J53" s="38" t="s">
        <v>140</v>
      </c>
      <c r="K53" s="71">
        <v>1.0</v>
      </c>
      <c r="L53" s="43" t="s">
        <v>68</v>
      </c>
    </row>
    <row r="54">
      <c r="A54" s="83">
        <f t="shared" si="11"/>
        <v>17</v>
      </c>
      <c r="B54" s="84" t="s">
        <v>92</v>
      </c>
      <c r="C54" s="57"/>
      <c r="D54" s="71">
        <v>1.0</v>
      </c>
      <c r="E54" s="43" t="s">
        <v>68</v>
      </c>
      <c r="F54" s="6"/>
      <c r="H54" s="83">
        <f t="shared" si="12"/>
        <v>17</v>
      </c>
      <c r="I54" s="84" t="s">
        <v>92</v>
      </c>
      <c r="J54" s="57"/>
      <c r="K54" s="71">
        <v>1.0</v>
      </c>
      <c r="L54" s="43" t="s">
        <v>68</v>
      </c>
    </row>
    <row r="55">
      <c r="A55" s="83">
        <f t="shared" si="11"/>
        <v>18</v>
      </c>
      <c r="B55" s="84" t="s">
        <v>93</v>
      </c>
      <c r="C55" s="57"/>
      <c r="D55" s="71">
        <v>1.0</v>
      </c>
      <c r="E55" s="43" t="s">
        <v>68</v>
      </c>
      <c r="F55" s="6"/>
      <c r="H55" s="83">
        <f t="shared" si="12"/>
        <v>18</v>
      </c>
      <c r="I55" s="84" t="s">
        <v>93</v>
      </c>
      <c r="J55" s="57"/>
      <c r="K55" s="71">
        <v>1.0</v>
      </c>
      <c r="L55" s="43" t="s">
        <v>68</v>
      </c>
    </row>
    <row r="56">
      <c r="A56" s="104">
        <v>19.0</v>
      </c>
      <c r="B56" s="102" t="s">
        <v>123</v>
      </c>
      <c r="C56" s="57"/>
      <c r="D56" s="71">
        <v>1.0</v>
      </c>
      <c r="E56" s="43" t="s">
        <v>68</v>
      </c>
      <c r="F56" s="6"/>
      <c r="H56" s="104">
        <v>19.0</v>
      </c>
      <c r="I56" s="102" t="s">
        <v>123</v>
      </c>
      <c r="J56" s="57"/>
      <c r="K56" s="71">
        <v>1.0</v>
      </c>
      <c r="L56" s="43" t="s">
        <v>68</v>
      </c>
    </row>
    <row r="57">
      <c r="A57" s="104">
        <v>20.0</v>
      </c>
      <c r="B57" s="102" t="s">
        <v>124</v>
      </c>
      <c r="C57" s="57"/>
      <c r="D57" s="71">
        <v>1.0</v>
      </c>
      <c r="E57" s="43" t="s">
        <v>68</v>
      </c>
      <c r="F57" s="6"/>
      <c r="H57" s="104">
        <v>20.0</v>
      </c>
      <c r="I57" s="102" t="s">
        <v>124</v>
      </c>
      <c r="J57" s="57"/>
      <c r="K57" s="71">
        <v>1.0</v>
      </c>
      <c r="L57" s="43" t="s">
        <v>68</v>
      </c>
    </row>
    <row r="58">
      <c r="A58" s="104">
        <v>21.0</v>
      </c>
      <c r="B58" s="102" t="s">
        <v>125</v>
      </c>
      <c r="C58" s="57"/>
      <c r="D58" s="71">
        <v>1.0</v>
      </c>
      <c r="E58" s="43" t="s">
        <v>68</v>
      </c>
      <c r="F58" s="6"/>
      <c r="H58" s="104">
        <v>21.0</v>
      </c>
      <c r="I58" s="102" t="s">
        <v>125</v>
      </c>
      <c r="J58" s="57"/>
      <c r="K58" s="71">
        <v>1.0</v>
      </c>
      <c r="L58" s="43" t="s">
        <v>68</v>
      </c>
    </row>
    <row r="59">
      <c r="A59" s="101">
        <f t="shared" ref="A59:A61" si="13">A58+1</f>
        <v>22</v>
      </c>
      <c r="B59" s="106" t="s">
        <v>127</v>
      </c>
      <c r="C59" s="57"/>
      <c r="D59" s="71">
        <v>1.0</v>
      </c>
      <c r="E59" s="43" t="s">
        <v>68</v>
      </c>
      <c r="F59" s="6"/>
      <c r="H59" s="101">
        <f t="shared" ref="H59:H61" si="14">H58+1</f>
        <v>22</v>
      </c>
      <c r="I59" s="106" t="s">
        <v>127</v>
      </c>
      <c r="J59" s="57"/>
      <c r="K59" s="71">
        <v>1.0</v>
      </c>
      <c r="L59" s="43" t="s">
        <v>68</v>
      </c>
    </row>
    <row r="60">
      <c r="A60" s="101">
        <f t="shared" si="13"/>
        <v>23</v>
      </c>
      <c r="B60" s="42" t="s">
        <v>119</v>
      </c>
      <c r="C60" s="57"/>
      <c r="D60" s="71">
        <v>1.0</v>
      </c>
      <c r="E60" s="43" t="s">
        <v>68</v>
      </c>
      <c r="F60" s="6"/>
      <c r="H60" s="101">
        <f t="shared" si="14"/>
        <v>23</v>
      </c>
      <c r="I60" s="42" t="s">
        <v>119</v>
      </c>
      <c r="J60" s="57"/>
      <c r="K60" s="71">
        <v>1.0</v>
      </c>
      <c r="L60" s="43" t="s">
        <v>68</v>
      </c>
    </row>
    <row r="61">
      <c r="A61" s="101">
        <f t="shared" si="13"/>
        <v>24</v>
      </c>
      <c r="B61" s="42" t="s">
        <v>117</v>
      </c>
      <c r="C61" s="57"/>
      <c r="D61" s="71">
        <v>1.0</v>
      </c>
      <c r="E61" s="43" t="s">
        <v>68</v>
      </c>
      <c r="H61" s="101">
        <f t="shared" si="14"/>
        <v>24</v>
      </c>
      <c r="I61" s="42" t="s">
        <v>117</v>
      </c>
      <c r="J61" s="57"/>
      <c r="K61" s="71">
        <v>1.0</v>
      </c>
      <c r="L61" s="43" t="s">
        <v>68</v>
      </c>
    </row>
    <row r="65">
      <c r="A65" s="8" t="s">
        <v>151</v>
      </c>
      <c r="B65" s="10"/>
      <c r="C65" s="10"/>
      <c r="D65" s="10"/>
      <c r="E65" s="13"/>
      <c r="F65" s="6"/>
      <c r="H65" s="8" t="s">
        <v>152</v>
      </c>
      <c r="I65" s="10"/>
      <c r="J65" s="10"/>
      <c r="K65" s="10"/>
      <c r="L65" s="13"/>
    </row>
    <row r="66">
      <c r="A66" s="15" t="s">
        <v>13</v>
      </c>
      <c r="B66" s="17" t="s">
        <v>16</v>
      </c>
      <c r="C66" s="24" t="s">
        <v>23</v>
      </c>
      <c r="D66" s="24" t="s">
        <v>24</v>
      </c>
      <c r="E66" s="28" t="s">
        <v>27</v>
      </c>
      <c r="F66" s="6"/>
      <c r="H66" s="15" t="s">
        <v>13</v>
      </c>
      <c r="I66" s="17" t="s">
        <v>16</v>
      </c>
      <c r="J66" s="24" t="s">
        <v>23</v>
      </c>
      <c r="K66" s="26" t="s">
        <v>24</v>
      </c>
      <c r="L66" s="28" t="s">
        <v>27</v>
      </c>
    </row>
    <row r="67">
      <c r="A67" s="31">
        <v>1.0</v>
      </c>
      <c r="B67" s="32" t="s">
        <v>20</v>
      </c>
      <c r="C67" s="38" t="s">
        <v>61</v>
      </c>
      <c r="D67" s="41">
        <v>1.7</v>
      </c>
      <c r="E67" s="43" t="s">
        <v>46</v>
      </c>
      <c r="F67" s="6"/>
      <c r="H67" s="31">
        <v>1.0</v>
      </c>
      <c r="I67" s="32" t="s">
        <v>20</v>
      </c>
      <c r="J67" s="38" t="s">
        <v>153</v>
      </c>
      <c r="K67" s="41">
        <v>1.75</v>
      </c>
      <c r="L67" s="43" t="s">
        <v>46</v>
      </c>
    </row>
    <row r="68">
      <c r="A68" s="31">
        <f t="shared" ref="A68:A69" si="15">A67+1</f>
        <v>2</v>
      </c>
      <c r="B68" s="32" t="s">
        <v>47</v>
      </c>
      <c r="C68" s="57"/>
      <c r="D68" s="51">
        <f>25/110</f>
        <v>0.2272727273</v>
      </c>
      <c r="E68" s="53" t="s">
        <v>62</v>
      </c>
      <c r="F68" s="6"/>
      <c r="H68" s="31">
        <f t="shared" ref="H68:H69" si="16">H67+1</f>
        <v>2</v>
      </c>
      <c r="I68" s="32" t="s">
        <v>47</v>
      </c>
      <c r="J68" s="57"/>
      <c r="K68" s="51">
        <f>25/110</f>
        <v>0.2272727273</v>
      </c>
      <c r="L68" s="53" t="s">
        <v>62</v>
      </c>
    </row>
    <row r="69">
      <c r="A69" s="52">
        <f t="shared" si="15"/>
        <v>3</v>
      </c>
      <c r="B69" s="55" t="s">
        <v>63</v>
      </c>
      <c r="C69" s="57"/>
      <c r="D69" s="51">
        <f>1/3</f>
        <v>0.3333333333</v>
      </c>
      <c r="E69" s="61" t="s">
        <v>68</v>
      </c>
      <c r="F69" s="6"/>
      <c r="H69" s="52">
        <f t="shared" si="16"/>
        <v>3</v>
      </c>
      <c r="I69" s="55" t="s">
        <v>63</v>
      </c>
      <c r="J69" s="57"/>
      <c r="K69" s="51">
        <f>1/3</f>
        <v>0.3333333333</v>
      </c>
      <c r="L69" s="61" t="s">
        <v>68</v>
      </c>
    </row>
    <row r="70">
      <c r="A70" s="66">
        <v>4.0</v>
      </c>
      <c r="B70" s="37" t="s">
        <v>52</v>
      </c>
      <c r="C70" s="57"/>
      <c r="D70" s="115">
        <v>1.0</v>
      </c>
      <c r="E70" s="61" t="s">
        <v>68</v>
      </c>
      <c r="F70" s="6"/>
      <c r="H70" s="66">
        <v>4.0</v>
      </c>
      <c r="I70" s="37" t="s">
        <v>52</v>
      </c>
      <c r="J70" s="57"/>
      <c r="K70" s="71">
        <v>1.0</v>
      </c>
      <c r="L70" s="61" t="s">
        <v>68</v>
      </c>
    </row>
    <row r="71">
      <c r="A71" s="60">
        <f t="shared" ref="A71:A81" si="17">A70+1</f>
        <v>5</v>
      </c>
      <c r="B71" s="69" t="s">
        <v>54</v>
      </c>
      <c r="C71" s="70"/>
      <c r="D71" s="41">
        <v>0.8</v>
      </c>
      <c r="E71" s="61" t="s">
        <v>96</v>
      </c>
      <c r="F71" s="6"/>
      <c r="H71" s="60">
        <f t="shared" ref="H71:H81" si="18">H70+1</f>
        <v>5</v>
      </c>
      <c r="I71" s="69" t="s">
        <v>54</v>
      </c>
      <c r="J71" s="70"/>
      <c r="K71" s="41">
        <v>0.8</v>
      </c>
      <c r="L71" s="61" t="s">
        <v>96</v>
      </c>
    </row>
    <row r="72">
      <c r="A72" s="73">
        <f t="shared" si="17"/>
        <v>6</v>
      </c>
      <c r="B72" s="74" t="s">
        <v>64</v>
      </c>
      <c r="C72" s="57"/>
      <c r="D72" s="65">
        <v>1.0</v>
      </c>
      <c r="E72" s="61" t="s">
        <v>68</v>
      </c>
      <c r="F72" s="6"/>
      <c r="H72" s="73">
        <f t="shared" si="18"/>
        <v>6</v>
      </c>
      <c r="I72" s="74" t="s">
        <v>64</v>
      </c>
      <c r="J72" s="57"/>
      <c r="K72" s="65">
        <v>1.0</v>
      </c>
      <c r="L72" s="61" t="s">
        <v>68</v>
      </c>
    </row>
    <row r="73">
      <c r="A73" s="73">
        <f t="shared" si="17"/>
        <v>7</v>
      </c>
      <c r="B73" s="74" t="s">
        <v>66</v>
      </c>
      <c r="C73" s="57"/>
      <c r="D73" s="71">
        <v>4.0</v>
      </c>
      <c r="E73" s="61" t="s">
        <v>68</v>
      </c>
      <c r="F73" s="6"/>
      <c r="H73" s="73">
        <f t="shared" si="18"/>
        <v>7</v>
      </c>
      <c r="I73" s="74" t="s">
        <v>66</v>
      </c>
      <c r="J73" s="57"/>
      <c r="K73" s="71">
        <v>4.0</v>
      </c>
      <c r="L73" s="61" t="s">
        <v>68</v>
      </c>
    </row>
    <row r="74">
      <c r="A74" s="89">
        <f t="shared" si="17"/>
        <v>8</v>
      </c>
      <c r="B74" s="80" t="s">
        <v>69</v>
      </c>
      <c r="C74" s="57"/>
      <c r="D74" s="41">
        <v>0.16</v>
      </c>
      <c r="E74" s="61" t="s">
        <v>96</v>
      </c>
      <c r="F74" s="6"/>
      <c r="H74" s="89">
        <f t="shared" si="18"/>
        <v>8</v>
      </c>
      <c r="I74" s="80" t="s">
        <v>69</v>
      </c>
      <c r="J74" s="57"/>
      <c r="K74" s="41">
        <v>0.16</v>
      </c>
      <c r="L74" s="61" t="s">
        <v>96</v>
      </c>
    </row>
    <row r="75">
      <c r="A75" s="89">
        <f t="shared" si="17"/>
        <v>9</v>
      </c>
      <c r="B75" s="80" t="s">
        <v>71</v>
      </c>
      <c r="C75" s="57"/>
      <c r="D75" s="41">
        <v>0.26</v>
      </c>
      <c r="E75" s="61" t="s">
        <v>96</v>
      </c>
      <c r="F75" s="6"/>
      <c r="H75" s="89">
        <f t="shared" si="18"/>
        <v>9</v>
      </c>
      <c r="I75" s="80" t="s">
        <v>71</v>
      </c>
      <c r="J75" s="57"/>
      <c r="K75" s="41">
        <v>0.26</v>
      </c>
      <c r="L75" s="61" t="s">
        <v>96</v>
      </c>
    </row>
    <row r="76">
      <c r="A76" s="83">
        <f t="shared" si="17"/>
        <v>10</v>
      </c>
      <c r="B76" s="84" t="s">
        <v>75</v>
      </c>
      <c r="C76" s="57"/>
      <c r="D76" s="41">
        <v>5.0</v>
      </c>
      <c r="E76" s="43" t="s">
        <v>68</v>
      </c>
      <c r="F76" s="6"/>
      <c r="H76" s="83">
        <f t="shared" si="18"/>
        <v>10</v>
      </c>
      <c r="I76" s="84" t="s">
        <v>75</v>
      </c>
      <c r="J76" s="57"/>
      <c r="K76" s="41">
        <v>5.0</v>
      </c>
      <c r="L76" s="43" t="s">
        <v>68</v>
      </c>
    </row>
    <row r="77">
      <c r="A77" s="83">
        <f t="shared" si="17"/>
        <v>11</v>
      </c>
      <c r="B77" s="84" t="s">
        <v>76</v>
      </c>
      <c r="C77" s="57"/>
      <c r="D77" s="41">
        <v>2.5</v>
      </c>
      <c r="E77" s="61" t="s">
        <v>96</v>
      </c>
      <c r="F77" s="6"/>
      <c r="H77" s="83">
        <f t="shared" si="18"/>
        <v>11</v>
      </c>
      <c r="I77" s="84" t="s">
        <v>76</v>
      </c>
      <c r="J77" s="57"/>
      <c r="K77" s="41">
        <v>2.5</v>
      </c>
      <c r="L77" s="61" t="s">
        <v>96</v>
      </c>
    </row>
    <row r="78">
      <c r="A78" s="83">
        <f t="shared" si="17"/>
        <v>12</v>
      </c>
      <c r="B78" s="84" t="s">
        <v>79</v>
      </c>
      <c r="C78" s="57"/>
      <c r="D78" s="71">
        <v>4.0</v>
      </c>
      <c r="E78" s="61" t="s">
        <v>68</v>
      </c>
      <c r="F78" s="6"/>
      <c r="H78" s="83">
        <f t="shared" si="18"/>
        <v>12</v>
      </c>
      <c r="I78" s="84" t="s">
        <v>79</v>
      </c>
      <c r="J78" s="57"/>
      <c r="K78" s="71">
        <v>4.0</v>
      </c>
      <c r="L78" s="61" t="s">
        <v>68</v>
      </c>
    </row>
    <row r="79">
      <c r="A79" s="83">
        <f t="shared" si="17"/>
        <v>13</v>
      </c>
      <c r="B79" s="84" t="s">
        <v>80</v>
      </c>
      <c r="C79" s="57"/>
      <c r="D79" s="41">
        <v>0.1</v>
      </c>
      <c r="E79" s="43" t="s">
        <v>96</v>
      </c>
      <c r="F79" s="6"/>
      <c r="H79" s="83">
        <f t="shared" si="18"/>
        <v>13</v>
      </c>
      <c r="I79" s="84" t="s">
        <v>80</v>
      </c>
      <c r="J79" s="57"/>
      <c r="K79" s="41">
        <v>0.1</v>
      </c>
      <c r="L79" s="43" t="s">
        <v>96</v>
      </c>
    </row>
    <row r="80">
      <c r="A80" s="83">
        <f t="shared" si="17"/>
        <v>14</v>
      </c>
      <c r="B80" s="94" t="s">
        <v>118</v>
      </c>
      <c r="C80" s="57"/>
      <c r="D80" s="71">
        <v>8.0</v>
      </c>
      <c r="E80" s="43" t="s">
        <v>68</v>
      </c>
      <c r="F80" s="6"/>
      <c r="H80" s="83">
        <f t="shared" si="18"/>
        <v>14</v>
      </c>
      <c r="I80" s="94" t="s">
        <v>118</v>
      </c>
      <c r="J80" s="57"/>
      <c r="K80" s="71">
        <v>8.0</v>
      </c>
      <c r="L80" s="43" t="s">
        <v>68</v>
      </c>
    </row>
    <row r="81">
      <c r="A81" s="83">
        <f t="shared" si="17"/>
        <v>15</v>
      </c>
      <c r="B81" s="94" t="s">
        <v>121</v>
      </c>
      <c r="C81" s="57"/>
      <c r="D81" s="71">
        <v>1.0</v>
      </c>
      <c r="E81" s="43" t="s">
        <v>68</v>
      </c>
      <c r="F81" s="6"/>
      <c r="H81" s="83">
        <f t="shared" si="18"/>
        <v>15</v>
      </c>
      <c r="I81" s="94" t="s">
        <v>121</v>
      </c>
      <c r="J81" s="57"/>
      <c r="K81" s="71">
        <v>1.0</v>
      </c>
      <c r="L81" s="43" t="s">
        <v>68</v>
      </c>
    </row>
    <row r="82">
      <c r="A82" s="83">
        <f>A80+1</f>
        <v>15</v>
      </c>
      <c r="B82" s="84" t="s">
        <v>122</v>
      </c>
      <c r="C82" s="38" t="s">
        <v>61</v>
      </c>
      <c r="D82" s="98">
        <v>1.0</v>
      </c>
      <c r="E82" s="43" t="s">
        <v>68</v>
      </c>
      <c r="F82" s="6"/>
      <c r="H82" s="83">
        <f>H80+1</f>
        <v>15</v>
      </c>
      <c r="I82" s="84" t="s">
        <v>122</v>
      </c>
      <c r="J82" s="38" t="s">
        <v>153</v>
      </c>
      <c r="K82" s="98">
        <v>1.0</v>
      </c>
      <c r="L82" s="43" t="s">
        <v>68</v>
      </c>
    </row>
    <row r="83">
      <c r="A83" s="83">
        <f t="shared" ref="A83:A85" si="19">A82+1</f>
        <v>16</v>
      </c>
      <c r="B83" s="84" t="s">
        <v>90</v>
      </c>
      <c r="C83" s="38" t="s">
        <v>61</v>
      </c>
      <c r="D83" s="71">
        <v>1.0</v>
      </c>
      <c r="E83" s="43" t="s">
        <v>68</v>
      </c>
      <c r="F83" s="6"/>
      <c r="H83" s="83">
        <f t="shared" ref="H83:H85" si="20">H82+1</f>
        <v>16</v>
      </c>
      <c r="I83" s="84" t="s">
        <v>90</v>
      </c>
      <c r="J83" s="38" t="s">
        <v>153</v>
      </c>
      <c r="K83" s="71">
        <v>1.0</v>
      </c>
      <c r="L83" s="43" t="s">
        <v>68</v>
      </c>
    </row>
    <row r="84">
      <c r="A84" s="83">
        <f t="shared" si="19"/>
        <v>17</v>
      </c>
      <c r="B84" s="84" t="s">
        <v>92</v>
      </c>
      <c r="C84" s="57"/>
      <c r="D84" s="71">
        <v>1.0</v>
      </c>
      <c r="E84" s="43" t="s">
        <v>68</v>
      </c>
      <c r="F84" s="6"/>
      <c r="H84" s="83">
        <f t="shared" si="20"/>
        <v>17</v>
      </c>
      <c r="I84" s="84" t="s">
        <v>92</v>
      </c>
      <c r="J84" s="57"/>
      <c r="K84" s="71">
        <v>1.0</v>
      </c>
      <c r="L84" s="43" t="s">
        <v>68</v>
      </c>
    </row>
    <row r="85">
      <c r="A85" s="83">
        <f t="shared" si="19"/>
        <v>18</v>
      </c>
      <c r="B85" s="84" t="s">
        <v>93</v>
      </c>
      <c r="C85" s="57"/>
      <c r="D85" s="71">
        <v>1.0</v>
      </c>
      <c r="E85" s="43" t="s">
        <v>68</v>
      </c>
      <c r="F85" s="6"/>
      <c r="H85" s="83">
        <f t="shared" si="20"/>
        <v>18</v>
      </c>
      <c r="I85" s="84" t="s">
        <v>93</v>
      </c>
      <c r="J85" s="57"/>
      <c r="K85" s="71">
        <v>1.0</v>
      </c>
      <c r="L85" s="43" t="s">
        <v>68</v>
      </c>
    </row>
    <row r="86">
      <c r="A86" s="104">
        <v>19.0</v>
      </c>
      <c r="B86" s="102" t="s">
        <v>123</v>
      </c>
      <c r="C86" s="57"/>
      <c r="D86" s="71">
        <v>1.0</v>
      </c>
      <c r="E86" s="43" t="s">
        <v>68</v>
      </c>
      <c r="F86" s="6"/>
      <c r="H86" s="104">
        <v>19.0</v>
      </c>
      <c r="I86" s="102" t="s">
        <v>123</v>
      </c>
      <c r="J86" s="57"/>
      <c r="K86" s="71">
        <v>1.0</v>
      </c>
      <c r="L86" s="43" t="s">
        <v>68</v>
      </c>
    </row>
    <row r="87">
      <c r="A87" s="104">
        <v>20.0</v>
      </c>
      <c r="B87" s="102" t="s">
        <v>124</v>
      </c>
      <c r="C87" s="57"/>
      <c r="D87" s="71">
        <v>1.0</v>
      </c>
      <c r="E87" s="43" t="s">
        <v>68</v>
      </c>
      <c r="F87" s="6"/>
      <c r="H87" s="104">
        <v>20.0</v>
      </c>
      <c r="I87" s="102" t="s">
        <v>124</v>
      </c>
      <c r="J87" s="57"/>
      <c r="K87" s="71">
        <v>1.0</v>
      </c>
      <c r="L87" s="43" t="s">
        <v>68</v>
      </c>
    </row>
    <row r="88">
      <c r="A88" s="104">
        <v>21.0</v>
      </c>
      <c r="B88" s="102" t="s">
        <v>125</v>
      </c>
      <c r="C88" s="57"/>
      <c r="D88" s="71">
        <v>1.0</v>
      </c>
      <c r="E88" s="43" t="s">
        <v>68</v>
      </c>
      <c r="F88" s="6"/>
      <c r="H88" s="104">
        <v>21.0</v>
      </c>
      <c r="I88" s="102" t="s">
        <v>125</v>
      </c>
      <c r="J88" s="57"/>
      <c r="K88" s="71">
        <v>1.0</v>
      </c>
      <c r="L88" s="43" t="s">
        <v>68</v>
      </c>
    </row>
    <row r="89">
      <c r="A89" s="101">
        <f t="shared" ref="A89:A91" si="21">A88+1</f>
        <v>22</v>
      </c>
      <c r="B89" s="106" t="s">
        <v>127</v>
      </c>
      <c r="C89" s="57"/>
      <c r="D89" s="71">
        <v>1.0</v>
      </c>
      <c r="E89" s="43" t="s">
        <v>68</v>
      </c>
      <c r="F89" s="6"/>
      <c r="H89" s="101">
        <f t="shared" ref="H89:H91" si="22">H88+1</f>
        <v>22</v>
      </c>
      <c r="I89" s="106" t="s">
        <v>127</v>
      </c>
      <c r="J89" s="57"/>
      <c r="K89" s="71">
        <v>1.0</v>
      </c>
      <c r="L89" s="43" t="s">
        <v>68</v>
      </c>
    </row>
    <row r="90">
      <c r="A90" s="101">
        <f t="shared" si="21"/>
        <v>23</v>
      </c>
      <c r="B90" s="42" t="s">
        <v>119</v>
      </c>
      <c r="C90" s="57"/>
      <c r="D90" s="71">
        <v>1.0</v>
      </c>
      <c r="E90" s="43" t="s">
        <v>68</v>
      </c>
      <c r="F90" s="6"/>
      <c r="H90" s="101">
        <f t="shared" si="22"/>
        <v>23</v>
      </c>
      <c r="I90" s="42" t="s">
        <v>119</v>
      </c>
      <c r="J90" s="57"/>
      <c r="K90" s="71">
        <v>1.0</v>
      </c>
      <c r="L90" s="43" t="s">
        <v>68</v>
      </c>
    </row>
    <row r="91">
      <c r="A91" s="101">
        <f t="shared" si="21"/>
        <v>24</v>
      </c>
      <c r="B91" s="42" t="s">
        <v>117</v>
      </c>
      <c r="C91" s="57"/>
      <c r="D91" s="71">
        <v>1.0</v>
      </c>
      <c r="E91" s="43" t="s">
        <v>68</v>
      </c>
      <c r="F91" s="6"/>
      <c r="H91" s="101">
        <f t="shared" si="22"/>
        <v>24</v>
      </c>
      <c r="I91" s="42" t="s">
        <v>117</v>
      </c>
      <c r="J91" s="57"/>
      <c r="K91" s="71">
        <v>1.0</v>
      </c>
      <c r="L91" s="43" t="s">
        <v>68</v>
      </c>
    </row>
    <row r="92">
      <c r="D92" s="5"/>
      <c r="F92" s="6"/>
    </row>
    <row r="93">
      <c r="D93" s="5"/>
      <c r="F93" s="6"/>
    </row>
    <row r="94">
      <c r="D94" s="5"/>
      <c r="F94" s="6"/>
    </row>
    <row r="95">
      <c r="D95" s="5"/>
      <c r="F95" s="6"/>
    </row>
    <row r="96">
      <c r="D96" s="5"/>
      <c r="F96" s="6"/>
    </row>
    <row r="97">
      <c r="D97" s="5"/>
      <c r="F97" s="6"/>
    </row>
    <row r="98">
      <c r="D98" s="5"/>
      <c r="F98" s="6"/>
    </row>
    <row r="99">
      <c r="D99" s="5"/>
      <c r="F99" s="6"/>
    </row>
    <row r="100">
      <c r="D100" s="5"/>
      <c r="F100" s="6"/>
    </row>
    <row r="101">
      <c r="D101" s="5"/>
      <c r="F101" s="6"/>
    </row>
    <row r="102">
      <c r="D102" s="5"/>
      <c r="F102" s="6"/>
    </row>
    <row r="103">
      <c r="D103" s="5"/>
      <c r="F103" s="6"/>
    </row>
    <row r="104">
      <c r="D104" s="5"/>
      <c r="F104" s="6"/>
    </row>
    <row r="105">
      <c r="D105" s="5"/>
      <c r="F105" s="6"/>
    </row>
    <row r="106">
      <c r="D106" s="5"/>
      <c r="F106" s="6"/>
    </row>
    <row r="107">
      <c r="D107" s="5"/>
      <c r="F107" s="6"/>
    </row>
    <row r="108">
      <c r="D108" s="5"/>
      <c r="F108" s="6"/>
    </row>
    <row r="109">
      <c r="D109" s="5"/>
      <c r="F109" s="6"/>
    </row>
    <row r="110">
      <c r="D110" s="5"/>
      <c r="F110" s="6"/>
    </row>
    <row r="111">
      <c r="D111" s="5"/>
      <c r="F111" s="6"/>
    </row>
    <row r="112">
      <c r="D112" s="5"/>
      <c r="F112" s="6"/>
    </row>
    <row r="113">
      <c r="D113" s="5"/>
      <c r="F113" s="6"/>
    </row>
    <row r="114">
      <c r="D114" s="5"/>
      <c r="F114" s="6"/>
    </row>
    <row r="115">
      <c r="D115" s="5"/>
      <c r="F115" s="6"/>
    </row>
    <row r="116">
      <c r="D116" s="5"/>
      <c r="F116" s="6"/>
    </row>
    <row r="117">
      <c r="D117" s="5"/>
      <c r="F117" s="6"/>
    </row>
    <row r="118">
      <c r="D118" s="5"/>
      <c r="F118" s="6"/>
    </row>
    <row r="119">
      <c r="D119" s="5"/>
      <c r="F119" s="6"/>
    </row>
    <row r="120">
      <c r="D120" s="5"/>
      <c r="F120" s="6"/>
    </row>
    <row r="121">
      <c r="D121" s="5"/>
      <c r="F121" s="6"/>
    </row>
    <row r="122">
      <c r="D122" s="5"/>
      <c r="F122" s="6"/>
    </row>
    <row r="123">
      <c r="D123" s="5"/>
      <c r="F123" s="6"/>
    </row>
    <row r="124">
      <c r="D124" s="5"/>
      <c r="F124" s="6"/>
    </row>
    <row r="125">
      <c r="D125" s="5"/>
      <c r="F125" s="6"/>
    </row>
    <row r="126">
      <c r="D126" s="5"/>
      <c r="F126" s="6"/>
    </row>
    <row r="127">
      <c r="D127" s="5"/>
      <c r="F127" s="6"/>
    </row>
    <row r="128">
      <c r="D128" s="5"/>
      <c r="F128" s="6"/>
    </row>
    <row r="129">
      <c r="D129" s="5"/>
      <c r="F129" s="6"/>
    </row>
    <row r="130">
      <c r="D130" s="5"/>
      <c r="F130" s="6"/>
    </row>
    <row r="131">
      <c r="D131" s="5"/>
      <c r="F131" s="6"/>
    </row>
    <row r="132">
      <c r="D132" s="5"/>
      <c r="F132" s="6"/>
    </row>
    <row r="133">
      <c r="D133" s="5"/>
      <c r="F133" s="6"/>
    </row>
    <row r="134">
      <c r="D134" s="5"/>
      <c r="F134" s="6"/>
    </row>
    <row r="135">
      <c r="D135" s="5"/>
      <c r="F135" s="6"/>
    </row>
    <row r="136">
      <c r="D136" s="5"/>
      <c r="F136" s="6"/>
    </row>
    <row r="137">
      <c r="D137" s="5"/>
      <c r="F137" s="6"/>
    </row>
    <row r="138">
      <c r="D138" s="5"/>
      <c r="F138" s="6"/>
    </row>
    <row r="139">
      <c r="D139" s="5"/>
      <c r="F139" s="6"/>
    </row>
    <row r="140">
      <c r="D140" s="5"/>
      <c r="F140" s="6"/>
    </row>
    <row r="141">
      <c r="D141" s="5"/>
      <c r="F141" s="6"/>
    </row>
    <row r="142">
      <c r="D142" s="5"/>
      <c r="F142" s="6"/>
    </row>
    <row r="143">
      <c r="D143" s="5"/>
      <c r="F143" s="6"/>
    </row>
    <row r="144">
      <c r="D144" s="5"/>
      <c r="F144" s="6"/>
    </row>
    <row r="145">
      <c r="D145" s="5"/>
      <c r="F145" s="6"/>
    </row>
    <row r="146">
      <c r="D146" s="5"/>
      <c r="F146" s="6"/>
    </row>
    <row r="147">
      <c r="D147" s="5"/>
      <c r="F147" s="6"/>
    </row>
    <row r="148">
      <c r="D148" s="5"/>
      <c r="F148" s="6"/>
    </row>
    <row r="149">
      <c r="D149" s="5"/>
      <c r="F149" s="6"/>
    </row>
    <row r="150">
      <c r="D150" s="5"/>
      <c r="F150" s="6"/>
    </row>
    <row r="151">
      <c r="D151" s="5"/>
      <c r="F151" s="6"/>
    </row>
    <row r="152">
      <c r="D152" s="5"/>
      <c r="F152" s="6"/>
    </row>
    <row r="153">
      <c r="D153" s="5"/>
      <c r="F153" s="6"/>
    </row>
    <row r="154">
      <c r="D154" s="5"/>
      <c r="F154" s="6"/>
    </row>
    <row r="155">
      <c r="D155" s="5"/>
      <c r="F155" s="6"/>
    </row>
    <row r="156">
      <c r="D156" s="5"/>
      <c r="F156" s="6"/>
    </row>
    <row r="157">
      <c r="D157" s="5"/>
      <c r="F157" s="6"/>
    </row>
    <row r="158">
      <c r="D158" s="5"/>
      <c r="F158" s="6"/>
    </row>
    <row r="159">
      <c r="D159" s="5"/>
      <c r="F159" s="6"/>
    </row>
    <row r="160">
      <c r="D160" s="5"/>
      <c r="F160" s="6"/>
    </row>
    <row r="161">
      <c r="D161" s="5"/>
      <c r="F161" s="6"/>
    </row>
    <row r="162">
      <c r="D162" s="5"/>
      <c r="F162" s="6"/>
    </row>
    <row r="163">
      <c r="D163" s="5"/>
      <c r="F163" s="6"/>
    </row>
    <row r="164">
      <c r="D164" s="5"/>
      <c r="F164" s="6"/>
    </row>
    <row r="165">
      <c r="D165" s="5"/>
      <c r="F165" s="6"/>
    </row>
    <row r="166">
      <c r="D166" s="5"/>
      <c r="F166" s="6"/>
    </row>
    <row r="167">
      <c r="D167" s="5"/>
      <c r="F167" s="6"/>
    </row>
    <row r="168">
      <c r="D168" s="5"/>
      <c r="F168" s="6"/>
    </row>
    <row r="169">
      <c r="D169" s="5"/>
      <c r="F169" s="6"/>
    </row>
    <row r="170">
      <c r="D170" s="5"/>
      <c r="F170" s="6"/>
    </row>
    <row r="171">
      <c r="D171" s="5"/>
      <c r="F171" s="6"/>
    </row>
    <row r="172">
      <c r="D172" s="5"/>
      <c r="F172" s="6"/>
    </row>
    <row r="173">
      <c r="D173" s="5"/>
      <c r="F173" s="6"/>
    </row>
    <row r="174">
      <c r="D174" s="5"/>
      <c r="F174" s="6"/>
    </row>
    <row r="175">
      <c r="D175" s="5"/>
      <c r="F175" s="6"/>
    </row>
    <row r="176">
      <c r="D176" s="5"/>
      <c r="F176" s="6"/>
    </row>
    <row r="177">
      <c r="D177" s="5"/>
      <c r="F177" s="6"/>
    </row>
    <row r="178">
      <c r="D178" s="5"/>
      <c r="F178" s="6"/>
    </row>
    <row r="179">
      <c r="D179" s="5"/>
      <c r="F179" s="6"/>
    </row>
    <row r="180">
      <c r="D180" s="5"/>
      <c r="F180" s="6"/>
    </row>
    <row r="181">
      <c r="D181" s="5"/>
      <c r="F181" s="6"/>
    </row>
    <row r="182">
      <c r="D182" s="5"/>
      <c r="F182" s="6"/>
    </row>
    <row r="183">
      <c r="D183" s="5"/>
      <c r="F183" s="6"/>
    </row>
    <row r="184">
      <c r="D184" s="5"/>
      <c r="F184" s="6"/>
    </row>
    <row r="185">
      <c r="D185" s="5"/>
      <c r="F185" s="6"/>
    </row>
    <row r="186">
      <c r="D186" s="5"/>
      <c r="F186" s="6"/>
    </row>
    <row r="187">
      <c r="D187" s="5"/>
      <c r="F187" s="6"/>
    </row>
    <row r="188">
      <c r="D188" s="5"/>
      <c r="F188" s="6"/>
    </row>
    <row r="189">
      <c r="D189" s="5"/>
      <c r="F189" s="6"/>
    </row>
    <row r="190">
      <c r="D190" s="5"/>
      <c r="F190" s="6"/>
    </row>
    <row r="191">
      <c r="D191" s="5"/>
      <c r="F191" s="6"/>
    </row>
    <row r="192">
      <c r="D192" s="5"/>
      <c r="F192" s="6"/>
    </row>
    <row r="193">
      <c r="D193" s="5"/>
      <c r="F193" s="6"/>
    </row>
    <row r="194">
      <c r="D194" s="5"/>
      <c r="F194" s="6"/>
    </row>
    <row r="195">
      <c r="D195" s="5"/>
      <c r="F195" s="6"/>
    </row>
    <row r="196">
      <c r="D196" s="5"/>
      <c r="F196" s="6"/>
    </row>
    <row r="197">
      <c r="D197" s="5"/>
      <c r="F197" s="6"/>
    </row>
    <row r="198">
      <c r="D198" s="5"/>
      <c r="F198" s="6"/>
    </row>
    <row r="199">
      <c r="D199" s="5"/>
      <c r="F199" s="6"/>
    </row>
    <row r="200">
      <c r="D200" s="5"/>
      <c r="F200" s="6"/>
    </row>
    <row r="201">
      <c r="D201" s="5"/>
      <c r="F201" s="6"/>
    </row>
    <row r="202">
      <c r="D202" s="5"/>
      <c r="F202" s="6"/>
    </row>
    <row r="203">
      <c r="D203" s="5"/>
      <c r="F203" s="6"/>
    </row>
    <row r="204">
      <c r="D204" s="5"/>
      <c r="F204" s="6"/>
    </row>
    <row r="205">
      <c r="D205" s="5"/>
      <c r="F205" s="6"/>
    </row>
    <row r="206">
      <c r="D206" s="5"/>
      <c r="F206" s="6"/>
    </row>
    <row r="207">
      <c r="D207" s="5"/>
      <c r="F207" s="6"/>
    </row>
    <row r="208">
      <c r="D208" s="5"/>
      <c r="F208" s="6"/>
    </row>
    <row r="209">
      <c r="D209" s="5"/>
      <c r="F209" s="6"/>
    </row>
    <row r="210">
      <c r="D210" s="5"/>
      <c r="F210" s="6"/>
    </row>
    <row r="211">
      <c r="D211" s="5"/>
      <c r="F211" s="6"/>
    </row>
    <row r="212">
      <c r="D212" s="5"/>
      <c r="F212" s="6"/>
    </row>
    <row r="213">
      <c r="D213" s="5"/>
      <c r="F213" s="6"/>
    </row>
    <row r="214">
      <c r="D214" s="5"/>
      <c r="F214" s="6"/>
    </row>
    <row r="215">
      <c r="D215" s="5"/>
      <c r="F215" s="6"/>
    </row>
    <row r="216">
      <c r="D216" s="5"/>
      <c r="F216" s="6"/>
    </row>
    <row r="217">
      <c r="D217" s="5"/>
      <c r="F217" s="6"/>
    </row>
    <row r="218">
      <c r="D218" s="5"/>
      <c r="F218" s="6"/>
    </row>
    <row r="219">
      <c r="D219" s="5"/>
      <c r="F219" s="6"/>
    </row>
    <row r="220">
      <c r="D220" s="5"/>
      <c r="F220" s="6"/>
    </row>
    <row r="221">
      <c r="D221" s="5"/>
      <c r="F221" s="6"/>
    </row>
    <row r="222">
      <c r="D222" s="5"/>
      <c r="F222" s="6"/>
    </row>
    <row r="223">
      <c r="D223" s="5"/>
      <c r="F223" s="6"/>
    </row>
    <row r="224">
      <c r="D224" s="5"/>
      <c r="F224" s="6"/>
    </row>
    <row r="225">
      <c r="D225" s="5"/>
      <c r="F225" s="6"/>
    </row>
    <row r="226">
      <c r="D226" s="5"/>
      <c r="F226" s="6"/>
    </row>
    <row r="227">
      <c r="D227" s="5"/>
      <c r="F227" s="6"/>
    </row>
    <row r="228">
      <c r="D228" s="5"/>
      <c r="F228" s="6"/>
    </row>
    <row r="229">
      <c r="D229" s="5"/>
      <c r="F229" s="6"/>
    </row>
    <row r="230">
      <c r="D230" s="5"/>
      <c r="F230" s="6"/>
    </row>
    <row r="231">
      <c r="D231" s="5"/>
      <c r="F231" s="6"/>
    </row>
    <row r="232">
      <c r="D232" s="5"/>
      <c r="F232" s="6"/>
    </row>
    <row r="233">
      <c r="D233" s="5"/>
      <c r="F233" s="6"/>
    </row>
    <row r="234">
      <c r="D234" s="5"/>
      <c r="F234" s="6"/>
    </row>
    <row r="235">
      <c r="D235" s="5"/>
      <c r="F235" s="6"/>
    </row>
    <row r="236">
      <c r="D236" s="5"/>
      <c r="F236" s="6"/>
    </row>
    <row r="237">
      <c r="D237" s="5"/>
      <c r="F237" s="6"/>
    </row>
    <row r="238">
      <c r="D238" s="5"/>
      <c r="F238" s="6"/>
    </row>
    <row r="239">
      <c r="D239" s="5"/>
      <c r="F239" s="6"/>
    </row>
    <row r="240">
      <c r="D240" s="5"/>
      <c r="F240" s="6"/>
    </row>
    <row r="241">
      <c r="D241" s="5"/>
      <c r="F241" s="6"/>
    </row>
    <row r="242">
      <c r="D242" s="5"/>
      <c r="F242" s="6"/>
    </row>
    <row r="243">
      <c r="D243" s="5"/>
      <c r="F243" s="6"/>
    </row>
    <row r="244">
      <c r="D244" s="5"/>
      <c r="F244" s="6"/>
    </row>
    <row r="245">
      <c r="D245" s="5"/>
      <c r="F245" s="6"/>
    </row>
    <row r="246">
      <c r="D246" s="5"/>
      <c r="F246" s="6"/>
    </row>
    <row r="247">
      <c r="D247" s="5"/>
      <c r="F247" s="6"/>
    </row>
    <row r="248">
      <c r="D248" s="5"/>
      <c r="F248" s="6"/>
    </row>
    <row r="249">
      <c r="D249" s="5"/>
      <c r="F249" s="6"/>
    </row>
    <row r="250">
      <c r="D250" s="5"/>
      <c r="F250" s="6"/>
    </row>
    <row r="251">
      <c r="D251" s="5"/>
      <c r="F251" s="6"/>
    </row>
    <row r="252">
      <c r="D252" s="5"/>
      <c r="F252" s="6"/>
    </row>
    <row r="253">
      <c r="D253" s="5"/>
      <c r="F253" s="6"/>
    </row>
    <row r="254">
      <c r="D254" s="5"/>
      <c r="F254" s="6"/>
    </row>
    <row r="255">
      <c r="D255" s="5"/>
      <c r="F255" s="6"/>
    </row>
    <row r="256">
      <c r="D256" s="5"/>
      <c r="F256" s="6"/>
    </row>
    <row r="257">
      <c r="D257" s="5"/>
      <c r="F257" s="6"/>
    </row>
    <row r="258">
      <c r="D258" s="5"/>
      <c r="F258" s="6"/>
    </row>
    <row r="259">
      <c r="D259" s="5"/>
      <c r="F259" s="6"/>
    </row>
    <row r="260">
      <c r="D260" s="5"/>
      <c r="F260" s="6"/>
    </row>
    <row r="261">
      <c r="D261" s="5"/>
      <c r="F261" s="6"/>
    </row>
    <row r="262">
      <c r="D262" s="5"/>
      <c r="F262" s="6"/>
    </row>
    <row r="263">
      <c r="D263" s="5"/>
      <c r="F263" s="6"/>
    </row>
    <row r="264">
      <c r="D264" s="5"/>
      <c r="F264" s="6"/>
    </row>
    <row r="265">
      <c r="D265" s="5"/>
      <c r="F265" s="6"/>
    </row>
    <row r="266">
      <c r="D266" s="5"/>
      <c r="F266" s="6"/>
    </row>
    <row r="267">
      <c r="D267" s="5"/>
      <c r="F267" s="6"/>
    </row>
    <row r="268">
      <c r="D268" s="5"/>
      <c r="F268" s="6"/>
    </row>
    <row r="269">
      <c r="D269" s="5"/>
      <c r="F269" s="6"/>
    </row>
    <row r="270">
      <c r="D270" s="5"/>
      <c r="F270" s="6"/>
    </row>
    <row r="271">
      <c r="D271" s="5"/>
      <c r="F271" s="6"/>
    </row>
    <row r="272">
      <c r="D272" s="5"/>
      <c r="F272" s="6"/>
    </row>
    <row r="273">
      <c r="D273" s="5"/>
      <c r="F273" s="6"/>
    </row>
    <row r="274">
      <c r="D274" s="5"/>
      <c r="F274" s="6"/>
    </row>
    <row r="275">
      <c r="D275" s="5"/>
      <c r="F275" s="6"/>
    </row>
    <row r="276">
      <c r="D276" s="5"/>
      <c r="F276" s="6"/>
    </row>
    <row r="277">
      <c r="D277" s="5"/>
      <c r="F277" s="6"/>
    </row>
    <row r="278">
      <c r="D278" s="5"/>
      <c r="F278" s="6"/>
    </row>
    <row r="279">
      <c r="D279" s="5"/>
      <c r="F279" s="6"/>
    </row>
    <row r="280">
      <c r="D280" s="5"/>
      <c r="F280" s="6"/>
    </row>
    <row r="281">
      <c r="D281" s="5"/>
      <c r="F281" s="6"/>
    </row>
    <row r="282">
      <c r="D282" s="5"/>
      <c r="F282" s="6"/>
    </row>
    <row r="283">
      <c r="D283" s="5"/>
      <c r="F283" s="6"/>
    </row>
    <row r="284">
      <c r="D284" s="5"/>
      <c r="F284" s="6"/>
    </row>
    <row r="285">
      <c r="D285" s="5"/>
      <c r="F285" s="6"/>
    </row>
    <row r="286">
      <c r="D286" s="5"/>
      <c r="F286" s="6"/>
    </row>
    <row r="287">
      <c r="D287" s="5"/>
      <c r="F287" s="6"/>
    </row>
    <row r="288">
      <c r="D288" s="5"/>
      <c r="F288" s="6"/>
    </row>
    <row r="289">
      <c r="D289" s="5"/>
      <c r="F289" s="6"/>
    </row>
    <row r="290">
      <c r="D290" s="5"/>
      <c r="F290" s="6"/>
    </row>
    <row r="291">
      <c r="D291" s="5"/>
      <c r="F291" s="6"/>
    </row>
    <row r="292">
      <c r="D292" s="5"/>
      <c r="F292" s="6"/>
    </row>
    <row r="293">
      <c r="D293" s="5"/>
      <c r="F293" s="6"/>
    </row>
    <row r="294">
      <c r="D294" s="5"/>
      <c r="F294" s="6"/>
    </row>
    <row r="295">
      <c r="D295" s="5"/>
      <c r="F295" s="6"/>
    </row>
    <row r="296">
      <c r="D296" s="5"/>
      <c r="F296" s="6"/>
    </row>
    <row r="297">
      <c r="D297" s="5"/>
      <c r="F297" s="6"/>
    </row>
    <row r="298">
      <c r="D298" s="5"/>
      <c r="F298" s="6"/>
    </row>
    <row r="299">
      <c r="D299" s="5"/>
      <c r="F299" s="6"/>
    </row>
    <row r="300">
      <c r="D300" s="5"/>
      <c r="F300" s="6"/>
    </row>
    <row r="301">
      <c r="D301" s="5"/>
      <c r="F301" s="6"/>
    </row>
    <row r="302">
      <c r="D302" s="5"/>
      <c r="F302" s="6"/>
    </row>
    <row r="303">
      <c r="D303" s="5"/>
      <c r="F303" s="6"/>
    </row>
    <row r="304">
      <c r="D304" s="5"/>
      <c r="F304" s="6"/>
    </row>
    <row r="305">
      <c r="D305" s="5"/>
      <c r="F305" s="6"/>
    </row>
    <row r="306">
      <c r="D306" s="5"/>
      <c r="F306" s="6"/>
    </row>
    <row r="307">
      <c r="D307" s="5"/>
      <c r="F307" s="6"/>
    </row>
    <row r="308">
      <c r="D308" s="5"/>
      <c r="F308" s="6"/>
    </row>
    <row r="309">
      <c r="D309" s="5"/>
      <c r="F309" s="6"/>
    </row>
    <row r="310">
      <c r="D310" s="5"/>
      <c r="F310" s="6"/>
    </row>
    <row r="311">
      <c r="D311" s="5"/>
      <c r="F311" s="6"/>
    </row>
    <row r="312">
      <c r="D312" s="5"/>
      <c r="F312" s="6"/>
    </row>
    <row r="313">
      <c r="D313" s="5"/>
      <c r="F313" s="6"/>
    </row>
    <row r="314">
      <c r="D314" s="5"/>
      <c r="F314" s="6"/>
    </row>
    <row r="315">
      <c r="D315" s="5"/>
      <c r="F315" s="6"/>
    </row>
    <row r="316">
      <c r="D316" s="5"/>
      <c r="F316" s="6"/>
    </row>
    <row r="317">
      <c r="D317" s="5"/>
      <c r="F317" s="6"/>
    </row>
    <row r="318">
      <c r="D318" s="5"/>
      <c r="F318" s="6"/>
    </row>
    <row r="319">
      <c r="D319" s="5"/>
      <c r="F319" s="6"/>
    </row>
    <row r="320">
      <c r="D320" s="5"/>
      <c r="F320" s="6"/>
    </row>
    <row r="321">
      <c r="D321" s="5"/>
      <c r="F321" s="6"/>
    </row>
    <row r="322">
      <c r="D322" s="5"/>
      <c r="F322" s="6"/>
    </row>
    <row r="323">
      <c r="D323" s="5"/>
      <c r="F323" s="6"/>
    </row>
    <row r="324">
      <c r="D324" s="5"/>
      <c r="F324" s="6"/>
    </row>
    <row r="325">
      <c r="D325" s="5"/>
      <c r="F325" s="6"/>
    </row>
    <row r="326">
      <c r="D326" s="5"/>
      <c r="F326" s="6"/>
    </row>
    <row r="327">
      <c r="D327" s="5"/>
      <c r="F327" s="6"/>
    </row>
    <row r="328">
      <c r="D328" s="5"/>
      <c r="F328" s="6"/>
    </row>
    <row r="329">
      <c r="D329" s="5"/>
      <c r="F329" s="6"/>
    </row>
    <row r="330">
      <c r="D330" s="5"/>
      <c r="F330" s="6"/>
    </row>
    <row r="331">
      <c r="D331" s="5"/>
      <c r="F331" s="6"/>
    </row>
    <row r="332">
      <c r="D332" s="5"/>
      <c r="F332" s="6"/>
    </row>
    <row r="333">
      <c r="D333" s="5"/>
      <c r="F333" s="6"/>
    </row>
    <row r="334">
      <c r="D334" s="5"/>
      <c r="F334" s="6"/>
    </row>
    <row r="335">
      <c r="D335" s="5"/>
      <c r="F335" s="6"/>
    </row>
    <row r="336">
      <c r="D336" s="5"/>
      <c r="F336" s="6"/>
    </row>
    <row r="337">
      <c r="D337" s="5"/>
      <c r="F337" s="6"/>
    </row>
    <row r="338">
      <c r="D338" s="5"/>
      <c r="F338" s="6"/>
    </row>
    <row r="339">
      <c r="D339" s="5"/>
      <c r="F339" s="6"/>
    </row>
    <row r="340">
      <c r="D340" s="5"/>
      <c r="F340" s="6"/>
    </row>
    <row r="341">
      <c r="D341" s="5"/>
      <c r="F341" s="6"/>
    </row>
    <row r="342">
      <c r="D342" s="5"/>
      <c r="F342" s="6"/>
    </row>
    <row r="343">
      <c r="D343" s="5"/>
      <c r="F343" s="6"/>
    </row>
    <row r="344">
      <c r="D344" s="5"/>
      <c r="F344" s="6"/>
    </row>
    <row r="345">
      <c r="D345" s="5"/>
      <c r="F345" s="6"/>
    </row>
    <row r="346">
      <c r="D346" s="5"/>
      <c r="F346" s="6"/>
    </row>
    <row r="347">
      <c r="D347" s="5"/>
      <c r="F347" s="6"/>
    </row>
    <row r="348">
      <c r="D348" s="5"/>
      <c r="F348" s="6"/>
    </row>
    <row r="349">
      <c r="D349" s="5"/>
      <c r="F349" s="6"/>
    </row>
    <row r="350">
      <c r="D350" s="5"/>
      <c r="F350" s="6"/>
    </row>
    <row r="351">
      <c r="D351" s="5"/>
      <c r="F351" s="6"/>
    </row>
    <row r="352">
      <c r="D352" s="5"/>
      <c r="F352" s="6"/>
    </row>
    <row r="353">
      <c r="D353" s="5"/>
      <c r="F353" s="6"/>
    </row>
    <row r="354">
      <c r="D354" s="5"/>
      <c r="F354" s="6"/>
    </row>
    <row r="355">
      <c r="D355" s="5"/>
      <c r="F355" s="6"/>
    </row>
    <row r="356">
      <c r="D356" s="5"/>
      <c r="F356" s="6"/>
    </row>
    <row r="357">
      <c r="D357" s="5"/>
      <c r="F357" s="6"/>
    </row>
    <row r="358">
      <c r="D358" s="5"/>
      <c r="F358" s="6"/>
    </row>
    <row r="359">
      <c r="D359" s="5"/>
      <c r="F359" s="6"/>
    </row>
    <row r="360">
      <c r="D360" s="5"/>
      <c r="F360" s="6"/>
    </row>
    <row r="361">
      <c r="D361" s="5"/>
      <c r="F361" s="6"/>
    </row>
    <row r="362">
      <c r="D362" s="5"/>
      <c r="F362" s="6"/>
    </row>
    <row r="363">
      <c r="D363" s="5"/>
      <c r="F363" s="6"/>
    </row>
    <row r="364">
      <c r="D364" s="5"/>
      <c r="F364" s="6"/>
    </row>
    <row r="365">
      <c r="D365" s="5"/>
      <c r="F365" s="6"/>
    </row>
    <row r="366">
      <c r="D366" s="5"/>
      <c r="F366" s="6"/>
    </row>
    <row r="367">
      <c r="D367" s="5"/>
      <c r="F367" s="6"/>
    </row>
    <row r="368">
      <c r="D368" s="5"/>
      <c r="F368" s="6"/>
    </row>
    <row r="369">
      <c r="D369" s="5"/>
      <c r="F369" s="6"/>
    </row>
    <row r="370">
      <c r="D370" s="5"/>
      <c r="F370" s="6"/>
    </row>
    <row r="371">
      <c r="D371" s="5"/>
      <c r="F371" s="6"/>
    </row>
    <row r="372">
      <c r="D372" s="5"/>
      <c r="F372" s="6"/>
    </row>
    <row r="373">
      <c r="D373" s="5"/>
      <c r="F373" s="6"/>
    </row>
    <row r="374">
      <c r="D374" s="5"/>
      <c r="F374" s="6"/>
    </row>
    <row r="375">
      <c r="D375" s="5"/>
      <c r="F375" s="6"/>
    </row>
    <row r="376">
      <c r="D376" s="5"/>
      <c r="F376" s="6"/>
    </row>
    <row r="377">
      <c r="D377" s="5"/>
      <c r="F377" s="6"/>
    </row>
    <row r="378">
      <c r="D378" s="5"/>
      <c r="F378" s="6"/>
    </row>
    <row r="379">
      <c r="D379" s="5"/>
      <c r="F379" s="6"/>
    </row>
    <row r="380">
      <c r="D380" s="5"/>
      <c r="F380" s="6"/>
    </row>
    <row r="381">
      <c r="D381" s="5"/>
      <c r="F381" s="6"/>
    </row>
    <row r="382">
      <c r="D382" s="5"/>
      <c r="F382" s="6"/>
    </row>
    <row r="383">
      <c r="D383" s="5"/>
      <c r="F383" s="6"/>
    </row>
    <row r="384">
      <c r="D384" s="5"/>
      <c r="F384" s="6"/>
    </row>
    <row r="385">
      <c r="D385" s="5"/>
      <c r="F385" s="6"/>
    </row>
    <row r="386">
      <c r="D386" s="5"/>
      <c r="F386" s="6"/>
    </row>
    <row r="387">
      <c r="D387" s="5"/>
      <c r="F387" s="6"/>
    </row>
    <row r="388">
      <c r="D388" s="5"/>
      <c r="F388" s="6"/>
    </row>
    <row r="389">
      <c r="D389" s="5"/>
      <c r="F389" s="6"/>
    </row>
    <row r="390">
      <c r="D390" s="5"/>
      <c r="F390" s="6"/>
    </row>
    <row r="391">
      <c r="D391" s="5"/>
      <c r="F391" s="6"/>
    </row>
    <row r="392">
      <c r="D392" s="5"/>
      <c r="F392" s="6"/>
    </row>
    <row r="393">
      <c r="D393" s="5"/>
      <c r="F393" s="6"/>
    </row>
    <row r="394">
      <c r="D394" s="5"/>
      <c r="F394" s="6"/>
    </row>
    <row r="395">
      <c r="D395" s="5"/>
      <c r="F395" s="6"/>
    </row>
    <row r="396">
      <c r="D396" s="5"/>
      <c r="F396" s="6"/>
    </row>
    <row r="397">
      <c r="D397" s="5"/>
      <c r="F397" s="6"/>
    </row>
    <row r="398">
      <c r="D398" s="5"/>
      <c r="F398" s="6"/>
    </row>
    <row r="399">
      <c r="D399" s="5"/>
      <c r="F399" s="6"/>
    </row>
    <row r="400">
      <c r="D400" s="5"/>
      <c r="F400" s="6"/>
    </row>
    <row r="401">
      <c r="D401" s="5"/>
      <c r="F401" s="6"/>
    </row>
    <row r="402">
      <c r="D402" s="5"/>
      <c r="F402" s="6"/>
    </row>
    <row r="403">
      <c r="D403" s="5"/>
      <c r="F403" s="6"/>
    </row>
    <row r="404">
      <c r="D404" s="5"/>
      <c r="F404" s="6"/>
    </row>
    <row r="405">
      <c r="D405" s="5"/>
      <c r="F405" s="6"/>
    </row>
    <row r="406">
      <c r="D406" s="5"/>
      <c r="F406" s="6"/>
    </row>
    <row r="407">
      <c r="D407" s="5"/>
      <c r="F407" s="6"/>
    </row>
    <row r="408">
      <c r="D408" s="5"/>
      <c r="F408" s="6"/>
    </row>
    <row r="409">
      <c r="D409" s="5"/>
      <c r="F409" s="6"/>
    </row>
    <row r="410">
      <c r="D410" s="5"/>
      <c r="F410" s="6"/>
    </row>
    <row r="411">
      <c r="D411" s="5"/>
      <c r="F411" s="6"/>
    </row>
    <row r="412">
      <c r="D412" s="5"/>
      <c r="F412" s="6"/>
    </row>
    <row r="413">
      <c r="D413" s="5"/>
      <c r="F413" s="6"/>
    </row>
    <row r="414">
      <c r="D414" s="5"/>
      <c r="F414" s="6"/>
    </row>
    <row r="415">
      <c r="D415" s="5"/>
      <c r="F415" s="6"/>
    </row>
    <row r="416">
      <c r="D416" s="5"/>
      <c r="F416" s="6"/>
    </row>
    <row r="417">
      <c r="D417" s="5"/>
      <c r="F417" s="6"/>
    </row>
    <row r="418">
      <c r="D418" s="5"/>
      <c r="F418" s="6"/>
    </row>
    <row r="419">
      <c r="D419" s="5"/>
      <c r="F419" s="6"/>
    </row>
    <row r="420">
      <c r="D420" s="5"/>
      <c r="F420" s="6"/>
    </row>
    <row r="421">
      <c r="D421" s="5"/>
      <c r="F421" s="6"/>
    </row>
    <row r="422">
      <c r="D422" s="5"/>
      <c r="F422" s="6"/>
    </row>
    <row r="423">
      <c r="D423" s="5"/>
      <c r="F423" s="6"/>
    </row>
    <row r="424">
      <c r="D424" s="5"/>
      <c r="F424" s="6"/>
    </row>
    <row r="425">
      <c r="D425" s="5"/>
      <c r="F425" s="6"/>
    </row>
    <row r="426">
      <c r="D426" s="5"/>
      <c r="F426" s="6"/>
    </row>
    <row r="427">
      <c r="D427" s="5"/>
      <c r="F427" s="6"/>
    </row>
    <row r="428">
      <c r="D428" s="5"/>
      <c r="F428" s="6"/>
    </row>
    <row r="429">
      <c r="D429" s="5"/>
      <c r="F429" s="6"/>
    </row>
    <row r="430">
      <c r="D430" s="5"/>
      <c r="F430" s="6"/>
    </row>
    <row r="431">
      <c r="D431" s="5"/>
      <c r="F431" s="6"/>
    </row>
    <row r="432">
      <c r="D432" s="5"/>
      <c r="F432" s="6"/>
    </row>
    <row r="433">
      <c r="D433" s="5"/>
      <c r="F433" s="6"/>
    </row>
    <row r="434">
      <c r="D434" s="5"/>
      <c r="F434" s="6"/>
    </row>
    <row r="435">
      <c r="D435" s="5"/>
      <c r="F435" s="6"/>
    </row>
    <row r="436">
      <c r="D436" s="5"/>
      <c r="F436" s="6"/>
    </row>
    <row r="437">
      <c r="D437" s="5"/>
      <c r="F437" s="6"/>
    </row>
    <row r="438">
      <c r="D438" s="5"/>
      <c r="F438" s="6"/>
    </row>
    <row r="439">
      <c r="D439" s="5"/>
      <c r="F439" s="6"/>
    </row>
    <row r="440">
      <c r="D440" s="5"/>
      <c r="F440" s="6"/>
    </row>
    <row r="441">
      <c r="D441" s="5"/>
      <c r="F441" s="6"/>
    </row>
    <row r="442">
      <c r="D442" s="5"/>
      <c r="F442" s="6"/>
    </row>
    <row r="443">
      <c r="D443" s="5"/>
      <c r="F443" s="6"/>
    </row>
    <row r="444">
      <c r="D444" s="5"/>
      <c r="F444" s="6"/>
    </row>
    <row r="445">
      <c r="D445" s="5"/>
      <c r="F445" s="6"/>
    </row>
    <row r="446">
      <c r="D446" s="5"/>
      <c r="F446" s="6"/>
    </row>
    <row r="447">
      <c r="D447" s="5"/>
      <c r="F447" s="6"/>
    </row>
    <row r="448">
      <c r="D448" s="5"/>
      <c r="F448" s="6"/>
    </row>
    <row r="449">
      <c r="D449" s="5"/>
      <c r="F449" s="6"/>
    </row>
    <row r="450">
      <c r="D450" s="5"/>
      <c r="F450" s="6"/>
    </row>
    <row r="451">
      <c r="D451" s="5"/>
      <c r="F451" s="6"/>
    </row>
    <row r="452">
      <c r="D452" s="5"/>
      <c r="F452" s="6"/>
    </row>
    <row r="453">
      <c r="D453" s="5"/>
      <c r="F453" s="6"/>
    </row>
    <row r="454">
      <c r="D454" s="5"/>
      <c r="F454" s="6"/>
    </row>
    <row r="455">
      <c r="D455" s="5"/>
      <c r="F455" s="6"/>
    </row>
    <row r="456">
      <c r="D456" s="5"/>
      <c r="F456" s="6"/>
    </row>
    <row r="457">
      <c r="D457" s="5"/>
      <c r="F457" s="6"/>
    </row>
    <row r="458">
      <c r="D458" s="5"/>
      <c r="F458" s="6"/>
    </row>
    <row r="459">
      <c r="D459" s="5"/>
      <c r="F459" s="6"/>
    </row>
    <row r="460">
      <c r="D460" s="5"/>
      <c r="F460" s="6"/>
    </row>
    <row r="461">
      <c r="D461" s="5"/>
      <c r="F461" s="6"/>
    </row>
    <row r="462">
      <c r="D462" s="5"/>
      <c r="F462" s="6"/>
    </row>
    <row r="463">
      <c r="D463" s="5"/>
      <c r="F463" s="6"/>
    </row>
    <row r="464">
      <c r="D464" s="5"/>
      <c r="F464" s="6"/>
    </row>
    <row r="465">
      <c r="D465" s="5"/>
      <c r="F465" s="6"/>
    </row>
    <row r="466">
      <c r="D466" s="5"/>
      <c r="F466" s="6"/>
    </row>
    <row r="467">
      <c r="D467" s="5"/>
      <c r="F467" s="6"/>
    </row>
    <row r="468">
      <c r="D468" s="5"/>
      <c r="F468" s="6"/>
    </row>
    <row r="469">
      <c r="D469" s="5"/>
      <c r="F469" s="6"/>
    </row>
    <row r="470">
      <c r="D470" s="5"/>
      <c r="F470" s="6"/>
    </row>
    <row r="471">
      <c r="D471" s="5"/>
      <c r="F471" s="6"/>
    </row>
    <row r="472">
      <c r="D472" s="5"/>
      <c r="F472" s="6"/>
    </row>
    <row r="473">
      <c r="D473" s="5"/>
      <c r="F473" s="6"/>
    </row>
    <row r="474">
      <c r="D474" s="5"/>
      <c r="F474" s="6"/>
    </row>
    <row r="475">
      <c r="D475" s="5"/>
      <c r="F475" s="6"/>
    </row>
    <row r="476">
      <c r="D476" s="5"/>
      <c r="F476" s="6"/>
    </row>
    <row r="477">
      <c r="D477" s="5"/>
      <c r="F477" s="6"/>
    </row>
    <row r="478">
      <c r="D478" s="5"/>
      <c r="F478" s="6"/>
    </row>
    <row r="479">
      <c r="D479" s="5"/>
      <c r="F479" s="6"/>
    </row>
    <row r="480">
      <c r="D480" s="5"/>
      <c r="F480" s="6"/>
    </row>
    <row r="481">
      <c r="D481" s="5"/>
      <c r="F481" s="6"/>
    </row>
    <row r="482">
      <c r="D482" s="5"/>
      <c r="F482" s="6"/>
    </row>
    <row r="483">
      <c r="D483" s="5"/>
      <c r="F483" s="6"/>
    </row>
    <row r="484">
      <c r="D484" s="5"/>
      <c r="F484" s="6"/>
    </row>
    <row r="485">
      <c r="D485" s="5"/>
      <c r="F485" s="6"/>
    </row>
    <row r="486">
      <c r="D486" s="5"/>
      <c r="F486" s="6"/>
    </row>
    <row r="487">
      <c r="D487" s="5"/>
      <c r="F487" s="6"/>
    </row>
    <row r="488">
      <c r="D488" s="5"/>
      <c r="F488" s="6"/>
    </row>
    <row r="489">
      <c r="D489" s="5"/>
      <c r="F489" s="6"/>
    </row>
    <row r="490">
      <c r="D490" s="5"/>
      <c r="F490" s="6"/>
    </row>
    <row r="491">
      <c r="D491" s="5"/>
      <c r="F491" s="6"/>
    </row>
    <row r="492">
      <c r="D492" s="5"/>
      <c r="F492" s="6"/>
    </row>
    <row r="493">
      <c r="D493" s="5"/>
      <c r="F493" s="6"/>
    </row>
    <row r="494">
      <c r="D494" s="5"/>
      <c r="F494" s="6"/>
    </row>
    <row r="495">
      <c r="D495" s="5"/>
      <c r="F495" s="6"/>
    </row>
    <row r="496">
      <c r="D496" s="5"/>
      <c r="F496" s="6"/>
    </row>
    <row r="497">
      <c r="D497" s="5"/>
      <c r="F497" s="6"/>
    </row>
    <row r="498">
      <c r="D498" s="5"/>
      <c r="F498" s="6"/>
    </row>
    <row r="499">
      <c r="D499" s="5"/>
      <c r="F499" s="6"/>
    </row>
    <row r="500">
      <c r="D500" s="5"/>
      <c r="F500" s="6"/>
    </row>
    <row r="501">
      <c r="D501" s="5"/>
      <c r="F501" s="6"/>
    </row>
    <row r="502">
      <c r="D502" s="5"/>
      <c r="F502" s="6"/>
    </row>
    <row r="503">
      <c r="D503" s="5"/>
      <c r="F503" s="6"/>
    </row>
    <row r="504">
      <c r="D504" s="5"/>
      <c r="F504" s="6"/>
    </row>
    <row r="505">
      <c r="D505" s="5"/>
      <c r="F505" s="6"/>
    </row>
    <row r="506">
      <c r="D506" s="5"/>
      <c r="F506" s="6"/>
    </row>
    <row r="507">
      <c r="D507" s="5"/>
      <c r="F507" s="6"/>
    </row>
    <row r="508">
      <c r="D508" s="5"/>
      <c r="F508" s="6"/>
    </row>
    <row r="509">
      <c r="D509" s="5"/>
      <c r="F509" s="6"/>
    </row>
    <row r="510">
      <c r="D510" s="5"/>
      <c r="F510" s="6"/>
    </row>
    <row r="511">
      <c r="D511" s="5"/>
      <c r="F511" s="6"/>
    </row>
    <row r="512">
      <c r="D512" s="5"/>
      <c r="F512" s="6"/>
    </row>
    <row r="513">
      <c r="D513" s="5"/>
      <c r="F513" s="6"/>
    </row>
    <row r="514">
      <c r="D514" s="5"/>
      <c r="F514" s="6"/>
    </row>
    <row r="515">
      <c r="D515" s="5"/>
      <c r="F515" s="6"/>
    </row>
    <row r="516">
      <c r="D516" s="5"/>
      <c r="F516" s="6"/>
    </row>
    <row r="517">
      <c r="D517" s="5"/>
      <c r="F517" s="6"/>
    </row>
    <row r="518">
      <c r="D518" s="5"/>
      <c r="F518" s="6"/>
    </row>
    <row r="519">
      <c r="D519" s="5"/>
      <c r="F519" s="6"/>
    </row>
    <row r="520">
      <c r="D520" s="5"/>
      <c r="F520" s="6"/>
    </row>
    <row r="521">
      <c r="D521" s="5"/>
      <c r="F521" s="6"/>
    </row>
    <row r="522">
      <c r="D522" s="5"/>
      <c r="F522" s="6"/>
    </row>
    <row r="523">
      <c r="D523" s="5"/>
      <c r="F523" s="6"/>
    </row>
    <row r="524">
      <c r="D524" s="5"/>
      <c r="F524" s="6"/>
    </row>
    <row r="525">
      <c r="D525" s="5"/>
      <c r="F525" s="6"/>
    </row>
    <row r="526">
      <c r="D526" s="5"/>
      <c r="F526" s="6"/>
    </row>
    <row r="527">
      <c r="D527" s="5"/>
      <c r="F527" s="6"/>
    </row>
    <row r="528">
      <c r="D528" s="5"/>
      <c r="F528" s="6"/>
    </row>
    <row r="529">
      <c r="D529" s="5"/>
      <c r="F529" s="6"/>
    </row>
    <row r="530">
      <c r="D530" s="5"/>
      <c r="F530" s="6"/>
    </row>
    <row r="531">
      <c r="D531" s="5"/>
      <c r="F531" s="6"/>
    </row>
    <row r="532">
      <c r="D532" s="5"/>
      <c r="F532" s="6"/>
    </row>
    <row r="533">
      <c r="D533" s="5"/>
      <c r="F533" s="6"/>
    </row>
    <row r="534">
      <c r="D534" s="5"/>
      <c r="F534" s="6"/>
    </row>
    <row r="535">
      <c r="D535" s="5"/>
      <c r="F535" s="6"/>
    </row>
    <row r="536">
      <c r="D536" s="5"/>
      <c r="F536" s="6"/>
    </row>
    <row r="537">
      <c r="D537" s="5"/>
      <c r="F537" s="6"/>
    </row>
    <row r="538">
      <c r="D538" s="5"/>
      <c r="F538" s="6"/>
    </row>
    <row r="539">
      <c r="D539" s="5"/>
      <c r="F539" s="6"/>
    </row>
    <row r="540">
      <c r="D540" s="5"/>
      <c r="F540" s="6"/>
    </row>
    <row r="541">
      <c r="D541" s="5"/>
      <c r="F541" s="6"/>
    </row>
    <row r="542">
      <c r="D542" s="5"/>
      <c r="F542" s="6"/>
    </row>
    <row r="543">
      <c r="D543" s="5"/>
      <c r="F543" s="6"/>
    </row>
    <row r="544">
      <c r="D544" s="5"/>
      <c r="F544" s="6"/>
    </row>
    <row r="545">
      <c r="D545" s="5"/>
      <c r="F545" s="6"/>
    </row>
    <row r="546">
      <c r="D546" s="5"/>
      <c r="F546" s="6"/>
    </row>
    <row r="547">
      <c r="D547" s="5"/>
      <c r="F547" s="6"/>
    </row>
    <row r="548">
      <c r="D548" s="5"/>
      <c r="F548" s="6"/>
    </row>
    <row r="549">
      <c r="D549" s="5"/>
      <c r="F549" s="6"/>
    </row>
    <row r="550">
      <c r="D550" s="5"/>
      <c r="F550" s="6"/>
    </row>
    <row r="551">
      <c r="D551" s="5"/>
      <c r="F551" s="6"/>
    </row>
    <row r="552">
      <c r="D552" s="5"/>
      <c r="F552" s="6"/>
    </row>
    <row r="553">
      <c r="D553" s="5"/>
      <c r="F553" s="6"/>
    </row>
    <row r="554">
      <c r="D554" s="5"/>
      <c r="F554" s="6"/>
    </row>
    <row r="555">
      <c r="D555" s="5"/>
      <c r="F555" s="6"/>
    </row>
    <row r="556">
      <c r="D556" s="5"/>
      <c r="F556" s="6"/>
    </row>
    <row r="557">
      <c r="D557" s="5"/>
      <c r="F557" s="6"/>
    </row>
    <row r="558">
      <c r="D558" s="5"/>
      <c r="F558" s="6"/>
    </row>
    <row r="559">
      <c r="D559" s="5"/>
      <c r="F559" s="6"/>
    </row>
    <row r="560">
      <c r="D560" s="5"/>
      <c r="F560" s="6"/>
    </row>
    <row r="561">
      <c r="D561" s="5"/>
      <c r="F561" s="6"/>
    </row>
    <row r="562">
      <c r="D562" s="5"/>
      <c r="F562" s="6"/>
    </row>
    <row r="563">
      <c r="D563" s="5"/>
      <c r="F563" s="6"/>
    </row>
    <row r="564">
      <c r="D564" s="5"/>
      <c r="F564" s="6"/>
    </row>
    <row r="565">
      <c r="D565" s="5"/>
      <c r="F565" s="6"/>
    </row>
    <row r="566">
      <c r="D566" s="5"/>
      <c r="F566" s="6"/>
    </row>
    <row r="567">
      <c r="D567" s="5"/>
      <c r="F567" s="6"/>
    </row>
    <row r="568">
      <c r="D568" s="5"/>
      <c r="F568" s="6"/>
    </row>
    <row r="569">
      <c r="D569" s="5"/>
      <c r="F569" s="6"/>
    </row>
    <row r="570">
      <c r="D570" s="5"/>
      <c r="F570" s="6"/>
    </row>
    <row r="571">
      <c r="D571" s="5"/>
      <c r="F571" s="6"/>
    </row>
    <row r="572">
      <c r="D572" s="5"/>
      <c r="F572" s="6"/>
    </row>
    <row r="573">
      <c r="D573" s="5"/>
      <c r="F573" s="6"/>
    </row>
    <row r="574">
      <c r="D574" s="5"/>
      <c r="F574" s="6"/>
    </row>
    <row r="575">
      <c r="D575" s="5"/>
      <c r="F575" s="6"/>
    </row>
    <row r="576">
      <c r="D576" s="5"/>
      <c r="F576" s="6"/>
    </row>
    <row r="577">
      <c r="D577" s="5"/>
      <c r="F577" s="6"/>
    </row>
    <row r="578">
      <c r="D578" s="5"/>
      <c r="F578" s="6"/>
    </row>
    <row r="579">
      <c r="D579" s="5"/>
      <c r="F579" s="6"/>
    </row>
    <row r="580">
      <c r="D580" s="5"/>
      <c r="F580" s="6"/>
    </row>
    <row r="581">
      <c r="D581" s="5"/>
      <c r="F581" s="6"/>
    </row>
    <row r="582">
      <c r="D582" s="5"/>
      <c r="F582" s="6"/>
    </row>
    <row r="583">
      <c r="D583" s="5"/>
      <c r="F583" s="6"/>
    </row>
    <row r="584">
      <c r="D584" s="5"/>
      <c r="F584" s="6"/>
    </row>
    <row r="585">
      <c r="D585" s="5"/>
      <c r="F585" s="6"/>
    </row>
    <row r="586">
      <c r="D586" s="5"/>
      <c r="F586" s="6"/>
    </row>
    <row r="587">
      <c r="D587" s="5"/>
      <c r="F587" s="6"/>
    </row>
    <row r="588">
      <c r="D588" s="5"/>
      <c r="F588" s="6"/>
    </row>
    <row r="589">
      <c r="D589" s="5"/>
      <c r="F589" s="6"/>
    </row>
    <row r="590">
      <c r="D590" s="5"/>
      <c r="F590" s="6"/>
    </row>
    <row r="591">
      <c r="D591" s="5"/>
      <c r="F591" s="6"/>
    </row>
    <row r="592">
      <c r="D592" s="5"/>
      <c r="F592" s="6"/>
    </row>
    <row r="593">
      <c r="D593" s="5"/>
      <c r="F593" s="6"/>
    </row>
    <row r="594">
      <c r="D594" s="5"/>
      <c r="F594" s="6"/>
    </row>
    <row r="595">
      <c r="D595" s="5"/>
      <c r="F595" s="6"/>
    </row>
    <row r="596">
      <c r="D596" s="5"/>
      <c r="F596" s="6"/>
    </row>
    <row r="597">
      <c r="D597" s="5"/>
      <c r="F597" s="6"/>
    </row>
    <row r="598">
      <c r="D598" s="5"/>
      <c r="F598" s="6"/>
    </row>
    <row r="599">
      <c r="D599" s="5"/>
      <c r="F599" s="6"/>
    </row>
    <row r="600">
      <c r="D600" s="5"/>
      <c r="F600" s="6"/>
    </row>
    <row r="601">
      <c r="D601" s="5"/>
      <c r="F601" s="6"/>
    </row>
    <row r="602">
      <c r="D602" s="5"/>
      <c r="F602" s="6"/>
    </row>
    <row r="603">
      <c r="D603" s="5"/>
      <c r="F603" s="6"/>
    </row>
    <row r="604">
      <c r="D604" s="5"/>
      <c r="F604" s="6"/>
    </row>
    <row r="605">
      <c r="D605" s="5"/>
      <c r="F605" s="6"/>
    </row>
    <row r="606">
      <c r="D606" s="5"/>
      <c r="F606" s="6"/>
    </row>
    <row r="607">
      <c r="D607" s="5"/>
      <c r="F607" s="6"/>
    </row>
    <row r="608">
      <c r="D608" s="5"/>
      <c r="F608" s="6"/>
    </row>
    <row r="609">
      <c r="D609" s="5"/>
      <c r="F609" s="6"/>
    </row>
    <row r="610">
      <c r="D610" s="5"/>
      <c r="F610" s="6"/>
    </row>
    <row r="611">
      <c r="D611" s="5"/>
      <c r="F611" s="6"/>
    </row>
    <row r="612">
      <c r="D612" s="5"/>
      <c r="F612" s="6"/>
    </row>
    <row r="613">
      <c r="D613" s="5"/>
      <c r="F613" s="6"/>
    </row>
    <row r="614">
      <c r="D614" s="5"/>
      <c r="F614" s="6"/>
    </row>
    <row r="615">
      <c r="D615" s="5"/>
      <c r="F615" s="6"/>
    </row>
    <row r="616">
      <c r="D616" s="5"/>
      <c r="F616" s="6"/>
    </row>
    <row r="617">
      <c r="D617" s="5"/>
      <c r="F617" s="6"/>
    </row>
    <row r="618">
      <c r="D618" s="5"/>
      <c r="F618" s="6"/>
    </row>
    <row r="619">
      <c r="D619" s="5"/>
      <c r="F619" s="6"/>
    </row>
    <row r="620">
      <c r="D620" s="5"/>
      <c r="F620" s="6"/>
    </row>
    <row r="621">
      <c r="D621" s="5"/>
      <c r="F621" s="6"/>
    </row>
    <row r="622">
      <c r="D622" s="5"/>
      <c r="F622" s="6"/>
    </row>
    <row r="623">
      <c r="D623" s="5"/>
      <c r="F623" s="6"/>
    </row>
    <row r="624">
      <c r="D624" s="5"/>
      <c r="F624" s="6"/>
    </row>
    <row r="625">
      <c r="D625" s="5"/>
      <c r="F625" s="6"/>
    </row>
    <row r="626">
      <c r="D626" s="5"/>
      <c r="F626" s="6"/>
    </row>
    <row r="627">
      <c r="D627" s="5"/>
      <c r="F627" s="6"/>
    </row>
    <row r="628">
      <c r="D628" s="5"/>
      <c r="F628" s="6"/>
    </row>
    <row r="629">
      <c r="D629" s="5"/>
      <c r="F629" s="6"/>
    </row>
    <row r="630">
      <c r="D630" s="5"/>
      <c r="F630" s="6"/>
    </row>
    <row r="631">
      <c r="D631" s="5"/>
      <c r="F631" s="6"/>
    </row>
    <row r="632">
      <c r="D632" s="5"/>
      <c r="F632" s="6"/>
    </row>
    <row r="633">
      <c r="D633" s="5"/>
      <c r="F633" s="6"/>
    </row>
    <row r="634">
      <c r="D634" s="5"/>
      <c r="F634" s="6"/>
    </row>
    <row r="635">
      <c r="D635" s="5"/>
      <c r="F635" s="6"/>
    </row>
    <row r="636">
      <c r="D636" s="5"/>
      <c r="F636" s="6"/>
    </row>
    <row r="637">
      <c r="D637" s="5"/>
      <c r="F637" s="6"/>
    </row>
    <row r="638">
      <c r="D638" s="5"/>
      <c r="F638" s="6"/>
    </row>
    <row r="639">
      <c r="D639" s="5"/>
      <c r="F639" s="6"/>
    </row>
    <row r="640">
      <c r="D640" s="5"/>
      <c r="F640" s="6"/>
    </row>
    <row r="641">
      <c r="D641" s="5"/>
      <c r="F641" s="6"/>
    </row>
    <row r="642">
      <c r="D642" s="5"/>
      <c r="F642" s="6"/>
    </row>
    <row r="643">
      <c r="D643" s="5"/>
      <c r="F643" s="6"/>
    </row>
    <row r="644">
      <c r="D644" s="5"/>
      <c r="F644" s="6"/>
    </row>
    <row r="645">
      <c r="D645" s="5"/>
      <c r="F645" s="6"/>
    </row>
    <row r="646">
      <c r="D646" s="5"/>
      <c r="F646" s="6"/>
    </row>
    <row r="647">
      <c r="D647" s="5"/>
      <c r="F647" s="6"/>
    </row>
    <row r="648">
      <c r="D648" s="5"/>
      <c r="F648" s="6"/>
    </row>
    <row r="649">
      <c r="D649" s="5"/>
      <c r="F649" s="6"/>
    </row>
    <row r="650">
      <c r="D650" s="5"/>
      <c r="F650" s="6"/>
    </row>
    <row r="651">
      <c r="D651" s="5"/>
      <c r="F651" s="6"/>
    </row>
    <row r="652">
      <c r="D652" s="5"/>
      <c r="F652" s="6"/>
    </row>
    <row r="653">
      <c r="D653" s="5"/>
      <c r="F653" s="6"/>
    </row>
    <row r="654">
      <c r="D654" s="5"/>
      <c r="F654" s="6"/>
    </row>
    <row r="655">
      <c r="D655" s="5"/>
      <c r="F655" s="6"/>
    </row>
    <row r="656">
      <c r="D656" s="5"/>
      <c r="F656" s="6"/>
    </row>
    <row r="657">
      <c r="D657" s="5"/>
      <c r="F657" s="6"/>
    </row>
    <row r="658">
      <c r="D658" s="5"/>
      <c r="F658" s="6"/>
    </row>
    <row r="659">
      <c r="D659" s="5"/>
      <c r="F659" s="6"/>
    </row>
    <row r="660">
      <c r="D660" s="5"/>
      <c r="F660" s="6"/>
    </row>
    <row r="661">
      <c r="D661" s="5"/>
      <c r="F661" s="6"/>
    </row>
    <row r="662">
      <c r="D662" s="5"/>
      <c r="F662" s="6"/>
    </row>
    <row r="663">
      <c r="D663" s="5"/>
      <c r="F663" s="6"/>
    </row>
    <row r="664">
      <c r="D664" s="5"/>
      <c r="F664" s="6"/>
    </row>
    <row r="665">
      <c r="D665" s="5"/>
      <c r="F665" s="6"/>
    </row>
    <row r="666">
      <c r="D666" s="5"/>
      <c r="F666" s="6"/>
    </row>
    <row r="667">
      <c r="D667" s="5"/>
      <c r="F667" s="6"/>
    </row>
    <row r="668">
      <c r="D668" s="5"/>
      <c r="F668" s="6"/>
    </row>
    <row r="669">
      <c r="D669" s="5"/>
      <c r="F669" s="6"/>
    </row>
    <row r="670">
      <c r="D670" s="5"/>
      <c r="F670" s="6"/>
    </row>
    <row r="671">
      <c r="D671" s="5"/>
      <c r="F671" s="6"/>
    </row>
    <row r="672">
      <c r="D672" s="5"/>
      <c r="F672" s="6"/>
    </row>
    <row r="673">
      <c r="D673" s="5"/>
      <c r="F673" s="6"/>
    </row>
    <row r="674">
      <c r="D674" s="5"/>
      <c r="F674" s="6"/>
    </row>
    <row r="675">
      <c r="D675" s="5"/>
      <c r="F675" s="6"/>
    </row>
    <row r="676">
      <c r="D676" s="5"/>
      <c r="F676" s="6"/>
    </row>
    <row r="677">
      <c r="D677" s="5"/>
      <c r="F677" s="6"/>
    </row>
    <row r="678">
      <c r="D678" s="5"/>
      <c r="F678" s="6"/>
    </row>
    <row r="679">
      <c r="D679" s="5"/>
      <c r="F679" s="6"/>
    </row>
    <row r="680">
      <c r="D680" s="5"/>
      <c r="F680" s="6"/>
    </row>
    <row r="681">
      <c r="D681" s="5"/>
      <c r="F681" s="6"/>
    </row>
    <row r="682">
      <c r="D682" s="5"/>
      <c r="F682" s="6"/>
    </row>
    <row r="683">
      <c r="D683" s="5"/>
      <c r="F683" s="6"/>
    </row>
    <row r="684">
      <c r="D684" s="5"/>
      <c r="F684" s="6"/>
    </row>
    <row r="685">
      <c r="D685" s="5"/>
      <c r="F685" s="6"/>
    </row>
    <row r="686">
      <c r="D686" s="5"/>
      <c r="F686" s="6"/>
    </row>
    <row r="687">
      <c r="D687" s="5"/>
      <c r="F687" s="6"/>
    </row>
    <row r="688">
      <c r="D688" s="5"/>
      <c r="F688" s="6"/>
    </row>
    <row r="689">
      <c r="D689" s="5"/>
      <c r="F689" s="6"/>
    </row>
    <row r="690">
      <c r="D690" s="5"/>
      <c r="F690" s="6"/>
    </row>
    <row r="691">
      <c r="D691" s="5"/>
      <c r="F691" s="6"/>
    </row>
    <row r="692">
      <c r="D692" s="5"/>
      <c r="F692" s="6"/>
    </row>
    <row r="693">
      <c r="D693" s="5"/>
      <c r="F693" s="6"/>
    </row>
    <row r="694">
      <c r="D694" s="5"/>
      <c r="F694" s="6"/>
    </row>
    <row r="695">
      <c r="D695" s="5"/>
      <c r="F695" s="6"/>
    </row>
    <row r="696">
      <c r="D696" s="5"/>
      <c r="F696" s="6"/>
    </row>
    <row r="697">
      <c r="D697" s="5"/>
      <c r="F697" s="6"/>
    </row>
    <row r="698">
      <c r="D698" s="5"/>
      <c r="F698" s="6"/>
    </row>
    <row r="699">
      <c r="D699" s="5"/>
      <c r="F699" s="6"/>
    </row>
    <row r="700">
      <c r="D700" s="5"/>
      <c r="F700" s="6"/>
    </row>
    <row r="701">
      <c r="D701" s="5"/>
      <c r="F701" s="6"/>
    </row>
    <row r="702">
      <c r="D702" s="5"/>
      <c r="F702" s="6"/>
    </row>
    <row r="703">
      <c r="D703" s="5"/>
      <c r="F703" s="6"/>
    </row>
    <row r="704">
      <c r="D704" s="5"/>
      <c r="F704" s="6"/>
    </row>
    <row r="705">
      <c r="D705" s="5"/>
      <c r="F705" s="6"/>
    </row>
    <row r="706">
      <c r="D706" s="5"/>
      <c r="F706" s="6"/>
    </row>
    <row r="707">
      <c r="D707" s="5"/>
      <c r="F707" s="6"/>
    </row>
    <row r="708">
      <c r="D708" s="5"/>
      <c r="F708" s="6"/>
    </row>
    <row r="709">
      <c r="D709" s="5"/>
      <c r="F709" s="6"/>
    </row>
    <row r="710">
      <c r="D710" s="5"/>
      <c r="F710" s="6"/>
    </row>
    <row r="711">
      <c r="D711" s="5"/>
      <c r="F711" s="6"/>
    </row>
    <row r="712">
      <c r="D712" s="5"/>
      <c r="F712" s="6"/>
    </row>
    <row r="713">
      <c r="D713" s="5"/>
      <c r="F713" s="6"/>
    </row>
    <row r="714">
      <c r="D714" s="5"/>
      <c r="F714" s="6"/>
    </row>
    <row r="715">
      <c r="D715" s="5"/>
      <c r="F715" s="6"/>
    </row>
    <row r="716">
      <c r="D716" s="5"/>
      <c r="F716" s="6"/>
    </row>
    <row r="717">
      <c r="D717" s="5"/>
      <c r="F717" s="6"/>
    </row>
    <row r="718">
      <c r="D718" s="5"/>
      <c r="F718" s="6"/>
    </row>
    <row r="719">
      <c r="D719" s="5"/>
      <c r="F719" s="6"/>
    </row>
    <row r="720">
      <c r="D720" s="5"/>
      <c r="F720" s="6"/>
    </row>
    <row r="721">
      <c r="D721" s="5"/>
      <c r="F721" s="6"/>
    </row>
    <row r="722">
      <c r="D722" s="5"/>
      <c r="F722" s="6"/>
    </row>
    <row r="723">
      <c r="D723" s="5"/>
      <c r="F723" s="6"/>
    </row>
    <row r="724">
      <c r="D724" s="5"/>
      <c r="F724" s="6"/>
    </row>
    <row r="725">
      <c r="D725" s="5"/>
      <c r="F725" s="6"/>
    </row>
    <row r="726">
      <c r="D726" s="5"/>
      <c r="F726" s="6"/>
    </row>
    <row r="727">
      <c r="D727" s="5"/>
      <c r="F727" s="6"/>
    </row>
    <row r="728">
      <c r="D728" s="5"/>
      <c r="F728" s="6"/>
    </row>
    <row r="729">
      <c r="D729" s="5"/>
      <c r="F729" s="6"/>
    </row>
    <row r="730">
      <c r="D730" s="5"/>
      <c r="F730" s="6"/>
    </row>
    <row r="731">
      <c r="D731" s="5"/>
      <c r="F731" s="6"/>
    </row>
    <row r="732">
      <c r="D732" s="5"/>
      <c r="F732" s="6"/>
    </row>
    <row r="733">
      <c r="D733" s="5"/>
      <c r="F733" s="6"/>
    </row>
    <row r="734">
      <c r="D734" s="5"/>
      <c r="F734" s="6"/>
    </row>
    <row r="735">
      <c r="D735" s="5"/>
      <c r="F735" s="6"/>
    </row>
    <row r="736">
      <c r="D736" s="5"/>
      <c r="F736" s="6"/>
    </row>
    <row r="737">
      <c r="D737" s="5"/>
      <c r="F737" s="6"/>
    </row>
    <row r="738">
      <c r="D738" s="5"/>
      <c r="F738" s="6"/>
    </row>
    <row r="739">
      <c r="D739" s="5"/>
      <c r="F739" s="6"/>
    </row>
    <row r="740">
      <c r="D740" s="5"/>
      <c r="F740" s="6"/>
    </row>
    <row r="741">
      <c r="D741" s="5"/>
      <c r="F741" s="6"/>
    </row>
    <row r="742">
      <c r="D742" s="5"/>
      <c r="F742" s="6"/>
    </row>
    <row r="743">
      <c r="D743" s="5"/>
      <c r="F743" s="6"/>
    </row>
    <row r="744">
      <c r="D744" s="5"/>
      <c r="F744" s="6"/>
    </row>
    <row r="745">
      <c r="D745" s="5"/>
      <c r="F745" s="6"/>
    </row>
    <row r="746">
      <c r="D746" s="5"/>
      <c r="F746" s="6"/>
    </row>
    <row r="747">
      <c r="D747" s="5"/>
      <c r="F747" s="6"/>
    </row>
    <row r="748">
      <c r="D748" s="5"/>
      <c r="F748" s="6"/>
    </row>
    <row r="749">
      <c r="D749" s="5"/>
      <c r="F749" s="6"/>
    </row>
    <row r="750">
      <c r="D750" s="5"/>
      <c r="F750" s="6"/>
    </row>
    <row r="751">
      <c r="D751" s="5"/>
      <c r="F751" s="6"/>
    </row>
    <row r="752">
      <c r="D752" s="5"/>
      <c r="F752" s="6"/>
    </row>
    <row r="753">
      <c r="D753" s="5"/>
      <c r="F753" s="6"/>
    </row>
    <row r="754">
      <c r="D754" s="5"/>
      <c r="F754" s="6"/>
    </row>
    <row r="755">
      <c r="D755" s="5"/>
      <c r="F755" s="6"/>
    </row>
    <row r="756">
      <c r="D756" s="5"/>
      <c r="F756" s="6"/>
    </row>
    <row r="757">
      <c r="D757" s="5"/>
      <c r="F757" s="6"/>
    </row>
    <row r="758">
      <c r="D758" s="5"/>
      <c r="F758" s="6"/>
    </row>
    <row r="759">
      <c r="D759" s="5"/>
      <c r="F759" s="6"/>
    </row>
    <row r="760">
      <c r="D760" s="5"/>
      <c r="F760" s="6"/>
    </row>
    <row r="761">
      <c r="D761" s="5"/>
      <c r="F761" s="6"/>
    </row>
    <row r="762">
      <c r="D762" s="5"/>
      <c r="F762" s="6"/>
    </row>
    <row r="763">
      <c r="D763" s="5"/>
      <c r="F763" s="6"/>
    </row>
    <row r="764">
      <c r="D764" s="5"/>
      <c r="F764" s="6"/>
    </row>
    <row r="765">
      <c r="D765" s="5"/>
      <c r="F765" s="6"/>
    </row>
    <row r="766">
      <c r="D766" s="5"/>
      <c r="F766" s="6"/>
    </row>
    <row r="767">
      <c r="D767" s="5"/>
      <c r="F767" s="6"/>
    </row>
    <row r="768">
      <c r="D768" s="5"/>
      <c r="F768" s="6"/>
    </row>
    <row r="769">
      <c r="D769" s="5"/>
      <c r="F769" s="6"/>
    </row>
    <row r="770">
      <c r="D770" s="5"/>
      <c r="F770" s="6"/>
    </row>
    <row r="771">
      <c r="D771" s="5"/>
      <c r="F771" s="6"/>
    </row>
    <row r="772">
      <c r="D772" s="5"/>
      <c r="F772" s="6"/>
    </row>
    <row r="773">
      <c r="D773" s="5"/>
      <c r="F773" s="6"/>
    </row>
    <row r="774">
      <c r="D774" s="5"/>
      <c r="F774" s="6"/>
    </row>
    <row r="775">
      <c r="D775" s="5"/>
      <c r="F775" s="6"/>
    </row>
    <row r="776">
      <c r="D776" s="5"/>
      <c r="F776" s="6"/>
    </row>
    <row r="777">
      <c r="D777" s="5"/>
      <c r="F777" s="6"/>
    </row>
    <row r="778">
      <c r="D778" s="5"/>
      <c r="F778" s="6"/>
    </row>
    <row r="779">
      <c r="D779" s="5"/>
      <c r="F779" s="6"/>
    </row>
    <row r="780">
      <c r="D780" s="5"/>
      <c r="F780" s="6"/>
    </row>
    <row r="781">
      <c r="D781" s="5"/>
      <c r="F781" s="6"/>
    </row>
    <row r="782">
      <c r="D782" s="5"/>
      <c r="F782" s="6"/>
    </row>
    <row r="783">
      <c r="D783" s="5"/>
      <c r="F783" s="6"/>
    </row>
    <row r="784">
      <c r="D784" s="5"/>
      <c r="F784" s="6"/>
    </row>
    <row r="785">
      <c r="D785" s="5"/>
      <c r="F785" s="6"/>
    </row>
    <row r="786">
      <c r="D786" s="5"/>
      <c r="F786" s="6"/>
    </row>
    <row r="787">
      <c r="D787" s="5"/>
      <c r="F787" s="6"/>
    </row>
    <row r="788">
      <c r="D788" s="5"/>
      <c r="F788" s="6"/>
    </row>
    <row r="789">
      <c r="D789" s="5"/>
      <c r="F789" s="6"/>
    </row>
    <row r="790">
      <c r="D790" s="5"/>
      <c r="F790" s="6"/>
    </row>
    <row r="791">
      <c r="D791" s="5"/>
      <c r="F791" s="6"/>
    </row>
    <row r="792">
      <c r="D792" s="5"/>
      <c r="F792" s="6"/>
    </row>
    <row r="793">
      <c r="D793" s="5"/>
      <c r="F793" s="6"/>
    </row>
    <row r="794">
      <c r="D794" s="5"/>
      <c r="F794" s="6"/>
    </row>
    <row r="795">
      <c r="D795" s="5"/>
      <c r="F795" s="6"/>
    </row>
    <row r="796">
      <c r="D796" s="5"/>
      <c r="F796" s="6"/>
    </row>
    <row r="797">
      <c r="D797" s="5"/>
      <c r="F797" s="6"/>
    </row>
    <row r="798">
      <c r="D798" s="5"/>
      <c r="F798" s="6"/>
    </row>
    <row r="799">
      <c r="D799" s="5"/>
      <c r="F799" s="6"/>
    </row>
    <row r="800">
      <c r="D800" s="5"/>
      <c r="F800" s="6"/>
    </row>
    <row r="801">
      <c r="D801" s="5"/>
      <c r="F801" s="6"/>
    </row>
    <row r="802">
      <c r="D802" s="5"/>
      <c r="F802" s="6"/>
    </row>
    <row r="803">
      <c r="D803" s="5"/>
      <c r="F803" s="6"/>
    </row>
    <row r="804">
      <c r="D804" s="5"/>
      <c r="F804" s="6"/>
    </row>
    <row r="805">
      <c r="D805" s="5"/>
      <c r="F805" s="6"/>
    </row>
    <row r="806">
      <c r="D806" s="5"/>
      <c r="F806" s="6"/>
    </row>
    <row r="807">
      <c r="D807" s="5"/>
      <c r="F807" s="6"/>
    </row>
    <row r="808">
      <c r="D808" s="5"/>
      <c r="F808" s="6"/>
    </row>
    <row r="809">
      <c r="D809" s="5"/>
      <c r="F809" s="6"/>
    </row>
    <row r="810">
      <c r="D810" s="5"/>
      <c r="F810" s="6"/>
    </row>
    <row r="811">
      <c r="D811" s="5"/>
      <c r="F811" s="6"/>
    </row>
    <row r="812">
      <c r="D812" s="5"/>
      <c r="F812" s="6"/>
    </row>
    <row r="813">
      <c r="D813" s="5"/>
      <c r="F813" s="6"/>
    </row>
    <row r="814">
      <c r="D814" s="5"/>
      <c r="F814" s="6"/>
    </row>
    <row r="815">
      <c r="D815" s="5"/>
      <c r="F815" s="6"/>
    </row>
    <row r="816">
      <c r="D816" s="5"/>
      <c r="F816" s="6"/>
    </row>
    <row r="817">
      <c r="D817" s="5"/>
      <c r="F817" s="6"/>
    </row>
    <row r="818">
      <c r="D818" s="5"/>
      <c r="F818" s="6"/>
    </row>
    <row r="819">
      <c r="D819" s="5"/>
      <c r="F819" s="6"/>
    </row>
    <row r="820">
      <c r="D820" s="5"/>
      <c r="F820" s="6"/>
    </row>
    <row r="821">
      <c r="D821" s="5"/>
      <c r="F821" s="6"/>
    </row>
    <row r="822">
      <c r="D822" s="5"/>
      <c r="F822" s="6"/>
    </row>
    <row r="823">
      <c r="D823" s="5"/>
      <c r="F823" s="6"/>
    </row>
    <row r="824">
      <c r="D824" s="5"/>
      <c r="F824" s="6"/>
    </row>
    <row r="825">
      <c r="D825" s="5"/>
      <c r="F825" s="6"/>
    </row>
    <row r="826">
      <c r="D826" s="5"/>
      <c r="F826" s="6"/>
    </row>
    <row r="827">
      <c r="D827" s="5"/>
      <c r="F827" s="6"/>
    </row>
    <row r="828">
      <c r="D828" s="5"/>
      <c r="F828" s="6"/>
    </row>
    <row r="829">
      <c r="D829" s="5"/>
      <c r="F829" s="6"/>
    </row>
    <row r="830">
      <c r="D830" s="5"/>
      <c r="F830" s="6"/>
    </row>
    <row r="831">
      <c r="D831" s="5"/>
      <c r="F831" s="6"/>
    </row>
    <row r="832">
      <c r="D832" s="5"/>
      <c r="F832" s="6"/>
    </row>
    <row r="833">
      <c r="D833" s="5"/>
      <c r="F833" s="6"/>
    </row>
    <row r="834">
      <c r="D834" s="5"/>
      <c r="F834" s="6"/>
    </row>
    <row r="835">
      <c r="D835" s="5"/>
      <c r="F835" s="6"/>
    </row>
    <row r="836">
      <c r="D836" s="5"/>
      <c r="F836" s="6"/>
    </row>
    <row r="837">
      <c r="D837" s="5"/>
      <c r="F837" s="6"/>
    </row>
    <row r="838">
      <c r="D838" s="5"/>
      <c r="F838" s="6"/>
    </row>
    <row r="839">
      <c r="D839" s="5"/>
      <c r="F839" s="6"/>
    </row>
    <row r="840">
      <c r="D840" s="5"/>
      <c r="F840" s="6"/>
    </row>
    <row r="841">
      <c r="D841" s="5"/>
      <c r="F841" s="6"/>
    </row>
    <row r="842">
      <c r="D842" s="5"/>
      <c r="F842" s="6"/>
    </row>
    <row r="843">
      <c r="D843" s="5"/>
      <c r="F843" s="6"/>
    </row>
    <row r="844">
      <c r="D844" s="5"/>
      <c r="F844" s="6"/>
    </row>
    <row r="845">
      <c r="D845" s="5"/>
      <c r="F845" s="6"/>
    </row>
    <row r="846">
      <c r="D846" s="5"/>
      <c r="F846" s="6"/>
    </row>
    <row r="847">
      <c r="D847" s="5"/>
      <c r="F847" s="6"/>
    </row>
    <row r="848">
      <c r="D848" s="5"/>
      <c r="F848" s="6"/>
    </row>
    <row r="849">
      <c r="D849" s="5"/>
      <c r="F849" s="6"/>
    </row>
    <row r="850">
      <c r="D850" s="5"/>
      <c r="F850" s="6"/>
    </row>
    <row r="851">
      <c r="D851" s="5"/>
      <c r="F851" s="6"/>
    </row>
    <row r="852">
      <c r="D852" s="5"/>
      <c r="F852" s="6"/>
    </row>
    <row r="853">
      <c r="D853" s="5"/>
      <c r="F853" s="6"/>
    </row>
    <row r="854">
      <c r="D854" s="5"/>
      <c r="F854" s="6"/>
    </row>
    <row r="855">
      <c r="D855" s="5"/>
      <c r="F855" s="6"/>
    </row>
    <row r="856">
      <c r="D856" s="5"/>
      <c r="F856" s="6"/>
    </row>
    <row r="857">
      <c r="D857" s="5"/>
      <c r="F857" s="6"/>
    </row>
    <row r="858">
      <c r="D858" s="5"/>
      <c r="F858" s="6"/>
    </row>
    <row r="859">
      <c r="D859" s="5"/>
      <c r="F859" s="6"/>
    </row>
    <row r="860">
      <c r="D860" s="5"/>
      <c r="F860" s="6"/>
    </row>
    <row r="861">
      <c r="D861" s="5"/>
      <c r="F861" s="6"/>
    </row>
    <row r="862">
      <c r="D862" s="5"/>
      <c r="F862" s="6"/>
    </row>
    <row r="863">
      <c r="D863" s="5"/>
      <c r="F863" s="6"/>
    </row>
    <row r="864">
      <c r="D864" s="5"/>
      <c r="F864" s="6"/>
    </row>
    <row r="865">
      <c r="D865" s="5"/>
      <c r="F865" s="6"/>
    </row>
    <row r="866">
      <c r="D866" s="5"/>
      <c r="F866" s="6"/>
    </row>
    <row r="867">
      <c r="D867" s="5"/>
      <c r="F867" s="6"/>
    </row>
    <row r="868">
      <c r="D868" s="5"/>
      <c r="F868" s="6"/>
    </row>
    <row r="869">
      <c r="D869" s="5"/>
      <c r="F869" s="6"/>
    </row>
    <row r="870">
      <c r="D870" s="5"/>
      <c r="F870" s="6"/>
    </row>
    <row r="871">
      <c r="D871" s="5"/>
      <c r="F871" s="6"/>
    </row>
    <row r="872">
      <c r="D872" s="5"/>
      <c r="F872" s="6"/>
    </row>
    <row r="873">
      <c r="D873" s="5"/>
      <c r="F873" s="6"/>
    </row>
    <row r="874">
      <c r="D874" s="5"/>
      <c r="F874" s="6"/>
    </row>
    <row r="875">
      <c r="D875" s="5"/>
      <c r="F875" s="6"/>
    </row>
    <row r="876">
      <c r="D876" s="5"/>
      <c r="F876" s="6"/>
    </row>
    <row r="877">
      <c r="D877" s="5"/>
      <c r="F877" s="6"/>
    </row>
    <row r="878">
      <c r="D878" s="5"/>
      <c r="F878" s="6"/>
    </row>
    <row r="879">
      <c r="D879" s="5"/>
      <c r="F879" s="6"/>
    </row>
    <row r="880">
      <c r="D880" s="5"/>
      <c r="F880" s="6"/>
    </row>
    <row r="881">
      <c r="D881" s="5"/>
      <c r="F881" s="6"/>
    </row>
    <row r="882">
      <c r="D882" s="5"/>
      <c r="F882" s="6"/>
    </row>
    <row r="883">
      <c r="D883" s="5"/>
      <c r="F883" s="6"/>
    </row>
    <row r="884">
      <c r="D884" s="5"/>
      <c r="F884" s="6"/>
    </row>
    <row r="885">
      <c r="D885" s="5"/>
      <c r="F885" s="6"/>
    </row>
    <row r="886">
      <c r="D886" s="5"/>
      <c r="F886" s="6"/>
    </row>
    <row r="887">
      <c r="D887" s="5"/>
      <c r="F887" s="6"/>
    </row>
    <row r="888">
      <c r="D888" s="5"/>
      <c r="F888" s="6"/>
    </row>
    <row r="889">
      <c r="D889" s="5"/>
      <c r="F889" s="6"/>
    </row>
    <row r="890">
      <c r="D890" s="5"/>
      <c r="F890" s="6"/>
    </row>
    <row r="891">
      <c r="D891" s="5"/>
      <c r="F891" s="6"/>
    </row>
    <row r="892">
      <c r="D892" s="5"/>
      <c r="F892" s="6"/>
    </row>
    <row r="893">
      <c r="D893" s="5"/>
      <c r="F893" s="6"/>
    </row>
    <row r="894">
      <c r="D894" s="5"/>
      <c r="F894" s="6"/>
    </row>
    <row r="895">
      <c r="D895" s="5"/>
      <c r="F895" s="6"/>
    </row>
    <row r="896">
      <c r="D896" s="5"/>
      <c r="F896" s="6"/>
    </row>
    <row r="897">
      <c r="D897" s="5"/>
      <c r="F897" s="6"/>
    </row>
    <row r="898">
      <c r="D898" s="5"/>
      <c r="F898" s="6"/>
    </row>
    <row r="899">
      <c r="D899" s="5"/>
      <c r="F899" s="6"/>
    </row>
    <row r="900">
      <c r="D900" s="5"/>
      <c r="F900" s="6"/>
    </row>
    <row r="901">
      <c r="D901" s="5"/>
      <c r="F901" s="6"/>
    </row>
    <row r="902">
      <c r="D902" s="5"/>
      <c r="F902" s="6"/>
    </row>
    <row r="903">
      <c r="D903" s="5"/>
      <c r="F903" s="6"/>
    </row>
    <row r="904">
      <c r="D904" s="5"/>
      <c r="F904" s="6"/>
    </row>
    <row r="905">
      <c r="D905" s="5"/>
      <c r="F905" s="6"/>
    </row>
    <row r="906">
      <c r="D906" s="5"/>
      <c r="F906" s="6"/>
    </row>
    <row r="907">
      <c r="D907" s="5"/>
      <c r="F907" s="6"/>
    </row>
    <row r="908">
      <c r="D908" s="5"/>
      <c r="F908" s="6"/>
    </row>
    <row r="909">
      <c r="D909" s="5"/>
      <c r="F909" s="6"/>
    </row>
    <row r="910">
      <c r="D910" s="5"/>
      <c r="F910" s="6"/>
    </row>
    <row r="911">
      <c r="D911" s="5"/>
      <c r="F911" s="6"/>
    </row>
    <row r="912">
      <c r="D912" s="5"/>
      <c r="F912" s="6"/>
    </row>
    <row r="913">
      <c r="D913" s="5"/>
      <c r="F913" s="6"/>
    </row>
    <row r="914">
      <c r="D914" s="5"/>
      <c r="F914" s="6"/>
    </row>
    <row r="915">
      <c r="D915" s="5"/>
      <c r="F915" s="6"/>
    </row>
    <row r="916">
      <c r="D916" s="5"/>
      <c r="F916" s="6"/>
    </row>
    <row r="917">
      <c r="D917" s="5"/>
      <c r="F917" s="6"/>
    </row>
    <row r="918">
      <c r="D918" s="5"/>
      <c r="F918" s="6"/>
    </row>
    <row r="919">
      <c r="D919" s="5"/>
      <c r="F919" s="6"/>
    </row>
    <row r="920">
      <c r="D920" s="5"/>
      <c r="F920" s="6"/>
    </row>
    <row r="921">
      <c r="D921" s="5"/>
      <c r="F921" s="6"/>
    </row>
    <row r="922">
      <c r="D922" s="5"/>
      <c r="F922" s="6"/>
    </row>
    <row r="923">
      <c r="D923" s="5"/>
      <c r="F923" s="6"/>
    </row>
    <row r="924">
      <c r="D924" s="5"/>
      <c r="F924" s="6"/>
    </row>
    <row r="925">
      <c r="D925" s="5"/>
      <c r="F925" s="6"/>
    </row>
    <row r="926">
      <c r="D926" s="5"/>
      <c r="F926" s="6"/>
    </row>
    <row r="927">
      <c r="D927" s="5"/>
      <c r="F927" s="6"/>
    </row>
    <row r="928">
      <c r="D928" s="5"/>
      <c r="F928" s="6"/>
    </row>
    <row r="929">
      <c r="D929" s="5"/>
      <c r="F929" s="6"/>
    </row>
    <row r="930">
      <c r="D930" s="5"/>
      <c r="F930" s="6"/>
    </row>
    <row r="931">
      <c r="D931" s="5"/>
      <c r="F931" s="6"/>
    </row>
    <row r="932">
      <c r="D932" s="5"/>
      <c r="F932" s="6"/>
    </row>
    <row r="933">
      <c r="D933" s="5"/>
      <c r="F933" s="6"/>
    </row>
    <row r="934">
      <c r="D934" s="5"/>
      <c r="F934" s="6"/>
    </row>
    <row r="935">
      <c r="D935" s="5"/>
      <c r="F935" s="6"/>
    </row>
    <row r="936">
      <c r="D936" s="5"/>
      <c r="F936" s="6"/>
    </row>
    <row r="937">
      <c r="D937" s="5"/>
      <c r="F937" s="6"/>
    </row>
    <row r="938">
      <c r="D938" s="5"/>
      <c r="F938" s="6"/>
    </row>
    <row r="939">
      <c r="D939" s="5"/>
      <c r="F939" s="6"/>
    </row>
    <row r="940">
      <c r="D940" s="5"/>
      <c r="F940" s="6"/>
    </row>
    <row r="941">
      <c r="D941" s="5"/>
      <c r="F941" s="6"/>
    </row>
    <row r="942">
      <c r="D942" s="5"/>
      <c r="F942" s="6"/>
    </row>
    <row r="943">
      <c r="D943" s="5"/>
      <c r="F943" s="6"/>
    </row>
    <row r="944">
      <c r="D944" s="5"/>
      <c r="F944" s="6"/>
    </row>
    <row r="945">
      <c r="D945" s="5"/>
      <c r="F945" s="6"/>
    </row>
    <row r="946">
      <c r="D946" s="5"/>
      <c r="F946" s="6"/>
    </row>
    <row r="947">
      <c r="D947" s="5"/>
      <c r="F947" s="6"/>
    </row>
    <row r="948">
      <c r="D948" s="5"/>
      <c r="F948" s="6"/>
    </row>
    <row r="949">
      <c r="D949" s="5"/>
      <c r="F949" s="6"/>
    </row>
    <row r="950">
      <c r="D950" s="5"/>
      <c r="F950" s="6"/>
    </row>
    <row r="951">
      <c r="D951" s="5"/>
      <c r="F951" s="6"/>
    </row>
    <row r="952">
      <c r="D952" s="5"/>
      <c r="F952" s="6"/>
    </row>
    <row r="953">
      <c r="D953" s="5"/>
      <c r="F953" s="6"/>
    </row>
    <row r="954">
      <c r="D954" s="5"/>
      <c r="F954" s="6"/>
    </row>
    <row r="955">
      <c r="D955" s="5"/>
      <c r="F955" s="6"/>
    </row>
    <row r="956">
      <c r="D956" s="5"/>
      <c r="F956" s="6"/>
    </row>
    <row r="957">
      <c r="D957" s="5"/>
      <c r="F957" s="6"/>
    </row>
    <row r="958">
      <c r="D958" s="5"/>
      <c r="F958" s="6"/>
    </row>
    <row r="959">
      <c r="D959" s="5"/>
      <c r="F959" s="6"/>
    </row>
    <row r="960">
      <c r="D960" s="5"/>
      <c r="F960" s="6"/>
    </row>
    <row r="961">
      <c r="D961" s="5"/>
      <c r="F961" s="6"/>
    </row>
    <row r="962">
      <c r="D962" s="5"/>
      <c r="F962" s="6"/>
    </row>
    <row r="963">
      <c r="D963" s="5"/>
      <c r="F963" s="6"/>
    </row>
    <row r="964">
      <c r="D964" s="5"/>
      <c r="F964" s="6"/>
    </row>
    <row r="965">
      <c r="D965" s="5"/>
      <c r="F965" s="6"/>
    </row>
    <row r="966">
      <c r="D966" s="5"/>
      <c r="F966" s="6"/>
    </row>
    <row r="967">
      <c r="D967" s="5"/>
      <c r="F967" s="6"/>
    </row>
    <row r="968">
      <c r="D968" s="5"/>
      <c r="F968" s="6"/>
    </row>
    <row r="969">
      <c r="D969" s="5"/>
      <c r="F969" s="6"/>
    </row>
    <row r="970">
      <c r="D970" s="5"/>
      <c r="F970" s="6"/>
    </row>
    <row r="971">
      <c r="D971" s="5"/>
      <c r="F971" s="6"/>
    </row>
    <row r="972">
      <c r="D972" s="5"/>
      <c r="F972" s="6"/>
    </row>
    <row r="973">
      <c r="D973" s="5"/>
      <c r="F973" s="6"/>
    </row>
    <row r="974">
      <c r="D974" s="5"/>
      <c r="F974" s="6"/>
    </row>
    <row r="975">
      <c r="D975" s="5"/>
      <c r="F975" s="6"/>
    </row>
    <row r="976">
      <c r="D976" s="5"/>
      <c r="F976" s="6"/>
    </row>
    <row r="977">
      <c r="D977" s="5"/>
      <c r="F977" s="6"/>
    </row>
    <row r="978">
      <c r="D978" s="5"/>
      <c r="F978" s="6"/>
    </row>
    <row r="979">
      <c r="D979" s="5"/>
      <c r="F979" s="6"/>
    </row>
    <row r="980">
      <c r="D980" s="5"/>
      <c r="F980" s="6"/>
    </row>
    <row r="981">
      <c r="D981" s="5"/>
      <c r="F981" s="6"/>
    </row>
    <row r="982">
      <c r="D982" s="5"/>
      <c r="F982" s="6"/>
    </row>
    <row r="983">
      <c r="D983" s="5"/>
      <c r="F983" s="6"/>
    </row>
    <row r="984">
      <c r="D984" s="5"/>
      <c r="F984" s="6"/>
    </row>
    <row r="985">
      <c r="D985" s="5"/>
      <c r="F985" s="6"/>
    </row>
    <row r="986">
      <c r="D986" s="5"/>
      <c r="F986" s="6"/>
    </row>
    <row r="987">
      <c r="D987" s="5"/>
      <c r="F987" s="6"/>
    </row>
    <row r="988">
      <c r="D988" s="5"/>
      <c r="F988" s="6"/>
    </row>
    <row r="989">
      <c r="D989" s="5"/>
      <c r="F989" s="6"/>
    </row>
    <row r="990">
      <c r="D990" s="5"/>
      <c r="F990" s="6"/>
    </row>
    <row r="991">
      <c r="D991" s="5"/>
      <c r="F991" s="6"/>
    </row>
    <row r="992">
      <c r="D992" s="5"/>
      <c r="F992" s="6"/>
    </row>
    <row r="993">
      <c r="D993" s="5"/>
      <c r="F993" s="6"/>
    </row>
    <row r="994">
      <c r="D994" s="5"/>
      <c r="F994" s="6"/>
    </row>
    <row r="995">
      <c r="D995" s="5"/>
      <c r="F995" s="6"/>
    </row>
    <row r="996">
      <c r="D996" s="5"/>
      <c r="F996" s="6"/>
    </row>
    <row r="997">
      <c r="D997" s="5"/>
      <c r="F997" s="6"/>
    </row>
    <row r="998">
      <c r="D998" s="5"/>
      <c r="F998" s="6"/>
    </row>
    <row r="999">
      <c r="D999" s="5"/>
      <c r="F999" s="6"/>
    </row>
    <row r="1000">
      <c r="D1000" s="5"/>
      <c r="F1000" s="6"/>
    </row>
    <row r="1001">
      <c r="D1001" s="5"/>
      <c r="F1001" s="6"/>
    </row>
    <row r="1002">
      <c r="D1002" s="5"/>
      <c r="F1002" s="6"/>
    </row>
    <row r="1003">
      <c r="D1003" s="5"/>
      <c r="F1003" s="6"/>
    </row>
    <row r="1004">
      <c r="D1004" s="5"/>
      <c r="F1004" s="6"/>
    </row>
  </sheetData>
  <mergeCells count="35">
    <mergeCell ref="A1:L1"/>
    <mergeCell ref="A3:F3"/>
    <mergeCell ref="H3:L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9:E29"/>
    <mergeCell ref="C30:E30"/>
    <mergeCell ref="C31:E31"/>
    <mergeCell ref="A35:E35"/>
    <mergeCell ref="H35:L35"/>
    <mergeCell ref="A65:E65"/>
    <mergeCell ref="H65:L65"/>
    <mergeCell ref="C22:E22"/>
    <mergeCell ref="C23:E23"/>
    <mergeCell ref="C24:E24"/>
    <mergeCell ref="C25:E25"/>
    <mergeCell ref="C26:E26"/>
    <mergeCell ref="C27:E27"/>
    <mergeCell ref="C28:E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3.38"/>
    <col customWidth="1" min="3" max="3" width="14.13"/>
    <col customWidth="1" min="4" max="4" width="14.88"/>
    <col customWidth="1" min="5" max="5" width="9.5"/>
    <col customWidth="1" min="9" max="9" width="2.88"/>
    <col customWidth="1" min="10" max="10" width="42.0"/>
  </cols>
  <sheetData>
    <row r="1">
      <c r="A1" s="1" t="s">
        <v>2</v>
      </c>
    </row>
    <row r="2">
      <c r="L2" s="12"/>
    </row>
    <row r="3">
      <c r="A3" s="4" t="s">
        <v>12</v>
      </c>
      <c r="I3" s="8" t="s">
        <v>15</v>
      </c>
      <c r="J3" s="10"/>
      <c r="K3" s="10"/>
      <c r="L3" s="10"/>
      <c r="M3" s="13"/>
    </row>
    <row r="4">
      <c r="A4" s="15" t="s">
        <v>13</v>
      </c>
      <c r="B4" s="17" t="s">
        <v>16</v>
      </c>
      <c r="C4" s="20" t="s">
        <v>19</v>
      </c>
      <c r="D4" s="10"/>
      <c r="E4" s="13"/>
      <c r="F4" s="18" t="s">
        <v>22</v>
      </c>
      <c r="I4" s="15" t="s">
        <v>13</v>
      </c>
      <c r="J4" s="15" t="s">
        <v>16</v>
      </c>
      <c r="K4" s="24" t="s">
        <v>19</v>
      </c>
      <c r="L4" s="26" t="s">
        <v>24</v>
      </c>
      <c r="M4" s="28" t="s">
        <v>27</v>
      </c>
      <c r="P4" s="30" t="s">
        <v>29</v>
      </c>
    </row>
    <row r="5">
      <c r="A5" s="31">
        <v>1.0</v>
      </c>
      <c r="B5" s="32" t="s">
        <v>35</v>
      </c>
      <c r="C5" s="33" t="s">
        <v>39</v>
      </c>
      <c r="D5" s="10"/>
      <c r="E5" s="13"/>
      <c r="F5" s="36" t="s">
        <v>42</v>
      </c>
      <c r="I5" s="31">
        <v>1.0</v>
      </c>
      <c r="J5" s="32" t="s">
        <v>35</v>
      </c>
      <c r="K5" s="36" t="s">
        <v>44</v>
      </c>
      <c r="L5" s="39">
        <v>1.7</v>
      </c>
      <c r="M5" s="42" t="s">
        <v>46</v>
      </c>
    </row>
    <row r="6">
      <c r="A6" s="31">
        <f t="shared" ref="A6:A7" si="1">A5+1</f>
        <v>2</v>
      </c>
      <c r="B6" s="45" t="s">
        <v>31</v>
      </c>
      <c r="C6" s="33" t="s">
        <v>50</v>
      </c>
      <c r="D6" s="10"/>
      <c r="E6" s="13"/>
      <c r="F6" s="36" t="s">
        <v>42</v>
      </c>
      <c r="I6" s="31">
        <f t="shared" ref="I6:I7" si="2">I5+1</f>
        <v>2</v>
      </c>
      <c r="J6" s="45" t="s">
        <v>31</v>
      </c>
      <c r="K6" s="23"/>
      <c r="L6" s="39">
        <f>25/110</f>
        <v>0.2272727273</v>
      </c>
      <c r="M6" s="42" t="s">
        <v>59</v>
      </c>
    </row>
    <row r="7">
      <c r="A7" s="52">
        <f t="shared" si="1"/>
        <v>3</v>
      </c>
      <c r="B7" s="55" t="s">
        <v>63</v>
      </c>
      <c r="C7" s="33" t="s">
        <v>39</v>
      </c>
      <c r="D7" s="10"/>
      <c r="E7" s="13"/>
      <c r="F7" s="36" t="s">
        <v>42</v>
      </c>
      <c r="I7" s="52">
        <f t="shared" si="2"/>
        <v>3</v>
      </c>
      <c r="J7" s="55" t="s">
        <v>63</v>
      </c>
      <c r="K7" s="23"/>
      <c r="L7" s="39">
        <f>1/3</f>
        <v>0.3333333333</v>
      </c>
      <c r="M7" s="42" t="s">
        <v>68</v>
      </c>
    </row>
    <row r="8">
      <c r="A8" s="60">
        <f t="shared" ref="A8:A9" si="3">A6+1</f>
        <v>3</v>
      </c>
      <c r="B8" s="63" t="s">
        <v>73</v>
      </c>
      <c r="C8" s="33"/>
      <c r="D8" s="10"/>
      <c r="E8" s="13"/>
      <c r="F8" s="36" t="s">
        <v>42</v>
      </c>
      <c r="I8" s="66">
        <v>4.0</v>
      </c>
      <c r="J8" s="63" t="s">
        <v>73</v>
      </c>
      <c r="K8" s="23"/>
      <c r="L8" s="68">
        <v>1.0</v>
      </c>
      <c r="M8" s="42" t="s">
        <v>68</v>
      </c>
    </row>
    <row r="9">
      <c r="A9" s="60">
        <f t="shared" si="3"/>
        <v>4</v>
      </c>
      <c r="B9" s="63" t="s">
        <v>86</v>
      </c>
      <c r="C9" s="33" t="s">
        <v>85</v>
      </c>
      <c r="D9" s="10"/>
      <c r="E9" s="13"/>
      <c r="F9" s="36" t="s">
        <v>42</v>
      </c>
      <c r="I9" s="66">
        <v>5.0</v>
      </c>
      <c r="J9" s="63" t="s">
        <v>86</v>
      </c>
      <c r="K9" s="36" t="s">
        <v>44</v>
      </c>
      <c r="L9" s="68">
        <v>1.0</v>
      </c>
      <c r="M9" s="42" t="s">
        <v>68</v>
      </c>
    </row>
    <row r="10">
      <c r="A10" s="60">
        <f t="shared" ref="A10:A22" si="4">A9+1</f>
        <v>5</v>
      </c>
      <c r="B10" s="63" t="s">
        <v>91</v>
      </c>
      <c r="C10" s="33" t="s">
        <v>51</v>
      </c>
      <c r="D10" s="10"/>
      <c r="E10" s="13"/>
      <c r="F10" s="36" t="s">
        <v>42</v>
      </c>
      <c r="I10" s="35">
        <v>6.0</v>
      </c>
      <c r="J10" s="69" t="s">
        <v>54</v>
      </c>
      <c r="K10" s="22"/>
      <c r="L10" s="77">
        <v>0.8</v>
      </c>
      <c r="M10" s="79" t="s">
        <v>46</v>
      </c>
    </row>
    <row r="11">
      <c r="A11" s="60">
        <f t="shared" si="4"/>
        <v>6</v>
      </c>
      <c r="B11" s="63" t="s">
        <v>101</v>
      </c>
      <c r="C11" s="33" t="s">
        <v>87</v>
      </c>
      <c r="D11" s="10"/>
      <c r="E11" s="13"/>
      <c r="F11" s="36" t="s">
        <v>42</v>
      </c>
      <c r="I11" s="54">
        <f t="shared" ref="I11:I20" si="5">I10+1</f>
        <v>7</v>
      </c>
      <c r="J11" s="74" t="s">
        <v>64</v>
      </c>
      <c r="K11" s="22"/>
      <c r="L11" s="85">
        <v>2.0</v>
      </c>
      <c r="M11" s="86" t="s">
        <v>106</v>
      </c>
    </row>
    <row r="12">
      <c r="A12" s="60">
        <f t="shared" si="4"/>
        <v>7</v>
      </c>
      <c r="B12" s="69" t="s">
        <v>54</v>
      </c>
      <c r="C12" s="33"/>
      <c r="D12" s="10"/>
      <c r="E12" s="13"/>
      <c r="F12" s="36" t="s">
        <v>42</v>
      </c>
      <c r="I12" s="54">
        <f t="shared" si="5"/>
        <v>8</v>
      </c>
      <c r="J12" s="74" t="s">
        <v>66</v>
      </c>
      <c r="K12" s="22"/>
      <c r="L12" s="85">
        <v>3.0</v>
      </c>
      <c r="M12" s="86" t="s">
        <v>106</v>
      </c>
    </row>
    <row r="13">
      <c r="A13" s="73">
        <f t="shared" si="4"/>
        <v>8</v>
      </c>
      <c r="B13" s="74" t="s">
        <v>64</v>
      </c>
      <c r="C13" s="33"/>
      <c r="D13" s="10"/>
      <c r="E13" s="13"/>
      <c r="F13" s="36" t="s">
        <v>42</v>
      </c>
      <c r="I13" s="58">
        <f t="shared" si="5"/>
        <v>9</v>
      </c>
      <c r="J13" s="80" t="s">
        <v>69</v>
      </c>
      <c r="K13" s="22"/>
      <c r="L13" s="77">
        <v>0.25</v>
      </c>
      <c r="M13" s="95" t="s">
        <v>46</v>
      </c>
    </row>
    <row r="14">
      <c r="A14" s="73">
        <f t="shared" si="4"/>
        <v>9</v>
      </c>
      <c r="B14" s="74" t="s">
        <v>66</v>
      </c>
      <c r="C14" s="33"/>
      <c r="D14" s="10"/>
      <c r="E14" s="13"/>
      <c r="F14" s="36" t="s">
        <v>42</v>
      </c>
      <c r="I14" s="58">
        <f t="shared" si="5"/>
        <v>10</v>
      </c>
      <c r="J14" s="80" t="s">
        <v>71</v>
      </c>
      <c r="K14" s="22"/>
      <c r="L14" s="77">
        <v>0.26</v>
      </c>
      <c r="M14" s="95" t="s">
        <v>46</v>
      </c>
    </row>
    <row r="15">
      <c r="A15" s="89">
        <f t="shared" si="4"/>
        <v>10</v>
      </c>
      <c r="B15" s="80" t="s">
        <v>69</v>
      </c>
      <c r="C15" s="33"/>
      <c r="D15" s="10"/>
      <c r="E15" s="13"/>
      <c r="F15" s="36" t="s">
        <v>42</v>
      </c>
      <c r="I15" s="62">
        <f t="shared" si="5"/>
        <v>11</v>
      </c>
      <c r="J15" s="84" t="s">
        <v>75</v>
      </c>
      <c r="K15" s="22"/>
      <c r="L15" s="85">
        <v>5.0</v>
      </c>
      <c r="M15" s="99" t="s">
        <v>106</v>
      </c>
    </row>
    <row r="16">
      <c r="A16" s="89">
        <f t="shared" si="4"/>
        <v>11</v>
      </c>
      <c r="B16" s="80" t="s">
        <v>71</v>
      </c>
      <c r="C16" s="33"/>
      <c r="D16" s="10"/>
      <c r="E16" s="13"/>
      <c r="F16" s="36" t="s">
        <v>42</v>
      </c>
      <c r="I16" s="62">
        <f t="shared" si="5"/>
        <v>12</v>
      </c>
      <c r="J16" s="84" t="s">
        <v>76</v>
      </c>
      <c r="K16" s="22"/>
      <c r="L16" s="77">
        <v>2.5</v>
      </c>
      <c r="M16" s="95" t="s">
        <v>46</v>
      </c>
    </row>
    <row r="17">
      <c r="A17" s="83">
        <f t="shared" si="4"/>
        <v>12</v>
      </c>
      <c r="B17" s="84" t="s">
        <v>75</v>
      </c>
      <c r="C17" s="33"/>
      <c r="D17" s="10"/>
      <c r="E17" s="13"/>
      <c r="F17" s="36" t="s">
        <v>42</v>
      </c>
      <c r="I17" s="62">
        <f t="shared" si="5"/>
        <v>13</v>
      </c>
      <c r="J17" s="84" t="s">
        <v>79</v>
      </c>
      <c r="K17" s="22"/>
      <c r="L17" s="85">
        <v>4.0</v>
      </c>
      <c r="M17" s="99" t="s">
        <v>106</v>
      </c>
    </row>
    <row r="18">
      <c r="A18" s="83">
        <f t="shared" si="4"/>
        <v>13</v>
      </c>
      <c r="B18" s="84" t="s">
        <v>76</v>
      </c>
      <c r="C18" s="33"/>
      <c r="D18" s="10"/>
      <c r="E18" s="13"/>
      <c r="F18" s="36" t="s">
        <v>42</v>
      </c>
      <c r="I18" s="62">
        <f t="shared" si="5"/>
        <v>14</v>
      </c>
      <c r="J18" s="84" t="s">
        <v>80</v>
      </c>
      <c r="K18" s="22"/>
      <c r="L18" s="77">
        <v>0.1</v>
      </c>
      <c r="M18" s="95" t="s">
        <v>46</v>
      </c>
    </row>
    <row r="19">
      <c r="A19" s="83">
        <f t="shared" si="4"/>
        <v>14</v>
      </c>
      <c r="B19" s="84" t="s">
        <v>79</v>
      </c>
      <c r="C19" s="33"/>
      <c r="D19" s="10"/>
      <c r="E19" s="13"/>
      <c r="F19" s="36" t="s">
        <v>42</v>
      </c>
      <c r="I19" s="62">
        <f t="shared" si="5"/>
        <v>15</v>
      </c>
      <c r="J19" s="94" t="s">
        <v>130</v>
      </c>
      <c r="K19" s="22"/>
      <c r="L19" s="85">
        <v>8.0</v>
      </c>
      <c r="M19" s="99" t="s">
        <v>106</v>
      </c>
    </row>
    <row r="20">
      <c r="A20" s="83">
        <f t="shared" si="4"/>
        <v>15</v>
      </c>
      <c r="B20" s="84" t="s">
        <v>80</v>
      </c>
      <c r="C20" s="33"/>
      <c r="D20" s="10"/>
      <c r="E20" s="13"/>
      <c r="F20" s="36" t="s">
        <v>42</v>
      </c>
      <c r="I20" s="62">
        <f t="shared" si="5"/>
        <v>16</v>
      </c>
      <c r="J20" s="94" t="s">
        <v>131</v>
      </c>
      <c r="K20" s="22"/>
      <c r="L20" s="85">
        <v>8.0</v>
      </c>
      <c r="M20" s="99" t="s">
        <v>106</v>
      </c>
    </row>
    <row r="21">
      <c r="A21" s="83">
        <f t="shared" si="4"/>
        <v>16</v>
      </c>
      <c r="B21" s="94" t="s">
        <v>113</v>
      </c>
      <c r="C21" s="33"/>
      <c r="D21" s="10"/>
      <c r="E21" s="13"/>
      <c r="F21" s="36" t="s">
        <v>42</v>
      </c>
      <c r="I21" s="62">
        <f>I19+1</f>
        <v>16</v>
      </c>
      <c r="J21" s="94" t="s">
        <v>132</v>
      </c>
      <c r="K21" s="40" t="s">
        <v>44</v>
      </c>
      <c r="L21" s="85">
        <v>1.0</v>
      </c>
      <c r="M21" s="99" t="s">
        <v>106</v>
      </c>
    </row>
    <row r="22">
      <c r="A22" s="83">
        <f t="shared" si="4"/>
        <v>17</v>
      </c>
      <c r="B22" s="94" t="s">
        <v>84</v>
      </c>
      <c r="C22" s="33"/>
      <c r="D22" s="10"/>
      <c r="E22" s="13"/>
      <c r="F22" s="36" t="s">
        <v>42</v>
      </c>
      <c r="I22" s="62">
        <f t="shared" ref="I22:I30" si="6">I21+1</f>
        <v>17</v>
      </c>
      <c r="J22" s="84" t="s">
        <v>90</v>
      </c>
      <c r="K22" s="105" t="s">
        <v>44</v>
      </c>
      <c r="L22" s="85">
        <v>1.0</v>
      </c>
      <c r="M22" s="99" t="s">
        <v>106</v>
      </c>
    </row>
    <row r="23">
      <c r="A23" s="83">
        <f>A21+1</f>
        <v>17</v>
      </c>
      <c r="B23" s="94" t="s">
        <v>88</v>
      </c>
      <c r="C23" s="33" t="s">
        <v>89</v>
      </c>
      <c r="D23" s="10"/>
      <c r="E23" s="13"/>
      <c r="F23" s="36" t="s">
        <v>42</v>
      </c>
      <c r="I23" s="62">
        <f t="shared" si="6"/>
        <v>18</v>
      </c>
      <c r="J23" s="84" t="s">
        <v>92</v>
      </c>
      <c r="K23" s="49"/>
      <c r="L23" s="85">
        <v>1.0</v>
      </c>
      <c r="M23" s="99" t="s">
        <v>106</v>
      </c>
    </row>
    <row r="24">
      <c r="A24" s="83">
        <f t="shared" ref="A24:A26" si="7">A23+1</f>
        <v>18</v>
      </c>
      <c r="B24" s="84" t="s">
        <v>90</v>
      </c>
      <c r="C24" s="33" t="s">
        <v>89</v>
      </c>
      <c r="D24" s="10"/>
      <c r="E24" s="13"/>
      <c r="F24" s="36" t="s">
        <v>133</v>
      </c>
      <c r="I24" s="62">
        <f t="shared" si="6"/>
        <v>19</v>
      </c>
      <c r="J24" s="84" t="s">
        <v>93</v>
      </c>
      <c r="K24" s="49"/>
      <c r="L24" s="85">
        <v>1.0</v>
      </c>
      <c r="M24" s="99" t="s">
        <v>106</v>
      </c>
    </row>
    <row r="25">
      <c r="A25" s="83">
        <f t="shared" si="7"/>
        <v>19</v>
      </c>
      <c r="B25" s="84" t="s">
        <v>92</v>
      </c>
      <c r="F25" s="36" t="s">
        <v>133</v>
      </c>
      <c r="I25" s="107">
        <f t="shared" si="6"/>
        <v>20</v>
      </c>
      <c r="J25" s="49" t="s">
        <v>123</v>
      </c>
      <c r="K25" s="49"/>
      <c r="L25" s="85">
        <v>1.0</v>
      </c>
      <c r="M25" s="99" t="s">
        <v>106</v>
      </c>
    </row>
    <row r="26">
      <c r="A26" s="83">
        <f t="shared" si="7"/>
        <v>20</v>
      </c>
      <c r="B26" s="84" t="s">
        <v>93</v>
      </c>
      <c r="C26" s="33"/>
      <c r="D26" s="10"/>
      <c r="E26" s="13"/>
      <c r="F26" s="36" t="s">
        <v>133</v>
      </c>
      <c r="I26" s="107">
        <f t="shared" si="6"/>
        <v>21</v>
      </c>
      <c r="J26" s="49" t="s">
        <v>124</v>
      </c>
      <c r="K26" s="49"/>
      <c r="L26" s="85">
        <v>1.0</v>
      </c>
      <c r="M26" s="99" t="s">
        <v>106</v>
      </c>
    </row>
    <row r="27">
      <c r="A27" s="108">
        <v>21.0</v>
      </c>
      <c r="B27" s="49" t="s">
        <v>123</v>
      </c>
      <c r="C27" s="33"/>
      <c r="D27" s="10"/>
      <c r="E27" s="13"/>
      <c r="F27" s="36" t="s">
        <v>42</v>
      </c>
      <c r="I27" s="107">
        <f t="shared" si="6"/>
        <v>22</v>
      </c>
      <c r="J27" s="49" t="s">
        <v>125</v>
      </c>
      <c r="K27" s="49"/>
      <c r="L27" s="85">
        <v>1.0</v>
      </c>
      <c r="M27" s="99" t="s">
        <v>106</v>
      </c>
    </row>
    <row r="28">
      <c r="A28" s="107">
        <f t="shared" ref="A28:A32" si="8">A27+1</f>
        <v>22</v>
      </c>
      <c r="B28" s="49" t="s">
        <v>124</v>
      </c>
      <c r="C28" s="33"/>
      <c r="D28" s="10"/>
      <c r="E28" s="13"/>
      <c r="F28" s="36" t="s">
        <v>42</v>
      </c>
      <c r="I28" s="107">
        <f t="shared" si="6"/>
        <v>23</v>
      </c>
      <c r="J28" s="49" t="s">
        <v>127</v>
      </c>
      <c r="K28" s="49"/>
      <c r="L28" s="85">
        <v>1.0</v>
      </c>
      <c r="M28" s="99" t="s">
        <v>106</v>
      </c>
    </row>
    <row r="29">
      <c r="A29" s="107">
        <f t="shared" si="8"/>
        <v>23</v>
      </c>
      <c r="B29" s="49" t="s">
        <v>125</v>
      </c>
      <c r="C29" s="33"/>
      <c r="D29" s="10"/>
      <c r="E29" s="13"/>
      <c r="F29" s="36" t="s">
        <v>42</v>
      </c>
      <c r="I29" s="107">
        <f t="shared" si="6"/>
        <v>24</v>
      </c>
      <c r="J29" s="100" t="s">
        <v>120</v>
      </c>
      <c r="K29" s="49"/>
      <c r="L29" s="85">
        <v>1.0</v>
      </c>
      <c r="M29" s="99" t="s">
        <v>106</v>
      </c>
    </row>
    <row r="30">
      <c r="A30" s="107">
        <f t="shared" si="8"/>
        <v>24</v>
      </c>
      <c r="B30" s="49" t="s">
        <v>127</v>
      </c>
      <c r="C30" s="33"/>
      <c r="D30" s="10"/>
      <c r="E30" s="13"/>
      <c r="F30" s="36" t="s">
        <v>133</v>
      </c>
      <c r="I30" s="107">
        <f t="shared" si="6"/>
        <v>25</v>
      </c>
      <c r="J30" s="100" t="s">
        <v>117</v>
      </c>
      <c r="K30" s="49"/>
      <c r="L30" s="85">
        <v>1.0</v>
      </c>
      <c r="M30" s="99" t="s">
        <v>106</v>
      </c>
    </row>
    <row r="31">
      <c r="A31" s="107">
        <f t="shared" si="8"/>
        <v>25</v>
      </c>
      <c r="B31" s="100" t="s">
        <v>120</v>
      </c>
      <c r="C31" s="33"/>
      <c r="D31" s="10"/>
      <c r="E31" s="13"/>
      <c r="F31" s="36" t="s">
        <v>137</v>
      </c>
      <c r="L31" s="12"/>
    </row>
    <row r="32">
      <c r="A32" s="107">
        <f t="shared" si="8"/>
        <v>26</v>
      </c>
      <c r="B32" s="100" t="s">
        <v>117</v>
      </c>
      <c r="C32" s="33"/>
      <c r="D32" s="10"/>
      <c r="E32" s="13"/>
      <c r="F32" s="36" t="s">
        <v>137</v>
      </c>
      <c r="L32" s="12"/>
    </row>
    <row r="33">
      <c r="A33" s="109"/>
      <c r="I33" s="8" t="s">
        <v>141</v>
      </c>
      <c r="J33" s="10"/>
      <c r="K33" s="10"/>
      <c r="L33" s="10"/>
      <c r="M33" s="13"/>
    </row>
    <row r="34">
      <c r="I34" s="15" t="s">
        <v>13</v>
      </c>
      <c r="J34" s="15" t="s">
        <v>16</v>
      </c>
      <c r="K34" s="24" t="s">
        <v>19</v>
      </c>
      <c r="L34" s="26" t="s">
        <v>24</v>
      </c>
      <c r="M34" s="28" t="s">
        <v>27</v>
      </c>
    </row>
    <row r="35">
      <c r="I35" s="31">
        <v>1.0</v>
      </c>
      <c r="J35" s="32" t="s">
        <v>35</v>
      </c>
      <c r="K35" s="36" t="s">
        <v>135</v>
      </c>
      <c r="L35" s="39">
        <v>1.75</v>
      </c>
      <c r="M35" s="42" t="s">
        <v>46</v>
      </c>
    </row>
    <row r="36">
      <c r="I36" s="31">
        <f t="shared" ref="I36:I37" si="9">I35+1</f>
        <v>2</v>
      </c>
      <c r="J36" s="45" t="s">
        <v>31</v>
      </c>
      <c r="K36" s="23"/>
      <c r="L36" s="39">
        <f>25/110</f>
        <v>0.2272727273</v>
      </c>
      <c r="M36" s="42" t="s">
        <v>59</v>
      </c>
    </row>
    <row r="37">
      <c r="I37" s="52">
        <f t="shared" si="9"/>
        <v>3</v>
      </c>
      <c r="J37" s="55" t="s">
        <v>63</v>
      </c>
      <c r="K37" s="23"/>
      <c r="L37" s="39">
        <f>1/3</f>
        <v>0.3333333333</v>
      </c>
      <c r="M37" s="42" t="s">
        <v>68</v>
      </c>
    </row>
    <row r="38">
      <c r="I38" s="66">
        <v>4.0</v>
      </c>
      <c r="J38" s="63" t="s">
        <v>73</v>
      </c>
      <c r="K38" s="23"/>
      <c r="L38" s="68">
        <v>1.0</v>
      </c>
      <c r="M38" s="42" t="s">
        <v>68</v>
      </c>
    </row>
    <row r="39">
      <c r="I39" s="66">
        <v>5.0</v>
      </c>
      <c r="J39" s="63" t="s">
        <v>91</v>
      </c>
      <c r="K39" s="36" t="s">
        <v>135</v>
      </c>
      <c r="L39" s="68">
        <v>1.0</v>
      </c>
      <c r="M39" s="42" t="s">
        <v>68</v>
      </c>
    </row>
    <row r="40">
      <c r="I40" s="35">
        <v>6.0</v>
      </c>
      <c r="J40" s="69" t="s">
        <v>54</v>
      </c>
      <c r="K40" s="22"/>
      <c r="L40" s="77">
        <v>0.8</v>
      </c>
      <c r="M40" s="79" t="s">
        <v>46</v>
      </c>
    </row>
    <row r="41">
      <c r="I41" s="54">
        <f t="shared" ref="I41:I50" si="10">I40+1</f>
        <v>7</v>
      </c>
      <c r="J41" s="74" t="s">
        <v>64</v>
      </c>
      <c r="K41" s="22"/>
      <c r="L41" s="85">
        <v>2.0</v>
      </c>
      <c r="M41" s="86" t="s">
        <v>106</v>
      </c>
    </row>
    <row r="42">
      <c r="I42" s="54">
        <f t="shared" si="10"/>
        <v>8</v>
      </c>
      <c r="J42" s="74" t="s">
        <v>66</v>
      </c>
      <c r="K42" s="22"/>
      <c r="L42" s="85">
        <v>3.0</v>
      </c>
      <c r="M42" s="86" t="s">
        <v>106</v>
      </c>
    </row>
    <row r="43">
      <c r="I43" s="58">
        <f t="shared" si="10"/>
        <v>9</v>
      </c>
      <c r="J43" s="80" t="s">
        <v>69</v>
      </c>
      <c r="K43" s="22"/>
      <c r="L43" s="77">
        <v>0.25</v>
      </c>
      <c r="M43" s="95" t="s">
        <v>46</v>
      </c>
    </row>
    <row r="44">
      <c r="I44" s="58">
        <f t="shared" si="10"/>
        <v>10</v>
      </c>
      <c r="J44" s="80" t="s">
        <v>71</v>
      </c>
      <c r="K44" s="22"/>
      <c r="L44" s="77">
        <v>0.26</v>
      </c>
      <c r="M44" s="95" t="s">
        <v>46</v>
      </c>
    </row>
    <row r="45">
      <c r="I45" s="62">
        <f t="shared" si="10"/>
        <v>11</v>
      </c>
      <c r="J45" s="84" t="s">
        <v>75</v>
      </c>
      <c r="K45" s="22"/>
      <c r="L45" s="85">
        <v>5.0</v>
      </c>
      <c r="M45" s="99" t="s">
        <v>106</v>
      </c>
    </row>
    <row r="46">
      <c r="I46" s="62">
        <f t="shared" si="10"/>
        <v>12</v>
      </c>
      <c r="J46" s="84" t="s">
        <v>76</v>
      </c>
      <c r="K46" s="22"/>
      <c r="L46" s="77">
        <v>2.5</v>
      </c>
      <c r="M46" s="95" t="s">
        <v>46</v>
      </c>
    </row>
    <row r="47">
      <c r="I47" s="62">
        <f t="shared" si="10"/>
        <v>13</v>
      </c>
      <c r="J47" s="84" t="s">
        <v>79</v>
      </c>
      <c r="K47" s="22"/>
      <c r="L47" s="85">
        <v>4.0</v>
      </c>
      <c r="M47" s="99" t="s">
        <v>106</v>
      </c>
    </row>
    <row r="48">
      <c r="I48" s="62">
        <f t="shared" si="10"/>
        <v>14</v>
      </c>
      <c r="J48" s="84" t="s">
        <v>80</v>
      </c>
      <c r="K48" s="22"/>
      <c r="L48" s="77">
        <v>0.1</v>
      </c>
      <c r="M48" s="95" t="s">
        <v>46</v>
      </c>
    </row>
    <row r="49">
      <c r="I49" s="62">
        <f t="shared" si="10"/>
        <v>15</v>
      </c>
      <c r="J49" s="94" t="s">
        <v>130</v>
      </c>
      <c r="K49" s="22"/>
      <c r="L49" s="85">
        <v>8.0</v>
      </c>
      <c r="M49" s="99" t="s">
        <v>106</v>
      </c>
    </row>
    <row r="50">
      <c r="I50" s="62">
        <f t="shared" si="10"/>
        <v>16</v>
      </c>
      <c r="J50" s="94" t="s">
        <v>131</v>
      </c>
      <c r="K50" s="22"/>
      <c r="L50" s="85">
        <v>8.0</v>
      </c>
      <c r="M50" s="99" t="s">
        <v>106</v>
      </c>
    </row>
    <row r="51">
      <c r="I51" s="62">
        <f>I49+1</f>
        <v>16</v>
      </c>
      <c r="J51" s="94" t="s">
        <v>132</v>
      </c>
      <c r="K51" s="40" t="s">
        <v>135</v>
      </c>
      <c r="L51" s="85">
        <v>1.0</v>
      </c>
      <c r="M51" s="99" t="s">
        <v>106</v>
      </c>
    </row>
    <row r="52">
      <c r="I52" s="62">
        <f t="shared" ref="I52:I60" si="11">I51+1</f>
        <v>17</v>
      </c>
      <c r="J52" s="84" t="s">
        <v>90</v>
      </c>
      <c r="K52" s="105" t="s">
        <v>135</v>
      </c>
      <c r="L52" s="85">
        <v>1.0</v>
      </c>
      <c r="M52" s="99" t="s">
        <v>106</v>
      </c>
    </row>
    <row r="53">
      <c r="I53" s="62">
        <f t="shared" si="11"/>
        <v>18</v>
      </c>
      <c r="J53" s="84" t="s">
        <v>92</v>
      </c>
      <c r="K53" s="49"/>
      <c r="L53" s="85">
        <v>1.0</v>
      </c>
      <c r="M53" s="99" t="s">
        <v>106</v>
      </c>
    </row>
    <row r="54">
      <c r="I54" s="62">
        <f t="shared" si="11"/>
        <v>19</v>
      </c>
      <c r="J54" s="84" t="s">
        <v>93</v>
      </c>
      <c r="K54" s="49"/>
      <c r="L54" s="85">
        <v>1.0</v>
      </c>
      <c r="M54" s="99" t="s">
        <v>106</v>
      </c>
    </row>
    <row r="55">
      <c r="I55" s="107">
        <f t="shared" si="11"/>
        <v>20</v>
      </c>
      <c r="J55" s="49" t="s">
        <v>123</v>
      </c>
      <c r="K55" s="49"/>
      <c r="L55" s="85">
        <v>1.0</v>
      </c>
      <c r="M55" s="99" t="s">
        <v>106</v>
      </c>
    </row>
    <row r="56">
      <c r="I56" s="107">
        <f t="shared" si="11"/>
        <v>21</v>
      </c>
      <c r="J56" s="49" t="s">
        <v>124</v>
      </c>
      <c r="K56" s="49"/>
      <c r="L56" s="85">
        <v>1.0</v>
      </c>
      <c r="M56" s="99" t="s">
        <v>106</v>
      </c>
    </row>
    <row r="57">
      <c r="I57" s="107">
        <f t="shared" si="11"/>
        <v>22</v>
      </c>
      <c r="J57" s="49" t="s">
        <v>125</v>
      </c>
      <c r="K57" s="49"/>
      <c r="L57" s="85">
        <v>1.0</v>
      </c>
      <c r="M57" s="99" t="s">
        <v>106</v>
      </c>
    </row>
    <row r="58">
      <c r="I58" s="107">
        <f t="shared" si="11"/>
        <v>23</v>
      </c>
      <c r="J58" s="49" t="s">
        <v>127</v>
      </c>
      <c r="K58" s="49"/>
      <c r="L58" s="85">
        <v>1.0</v>
      </c>
      <c r="M58" s="99" t="s">
        <v>106</v>
      </c>
    </row>
    <row r="59">
      <c r="I59" s="101">
        <f t="shared" si="11"/>
        <v>24</v>
      </c>
      <c r="J59" s="90" t="s">
        <v>120</v>
      </c>
      <c r="K59" s="49"/>
      <c r="L59" s="85">
        <v>1.0</v>
      </c>
      <c r="M59" s="99" t="s">
        <v>106</v>
      </c>
    </row>
    <row r="60">
      <c r="I60" s="101">
        <f t="shared" si="11"/>
        <v>25</v>
      </c>
      <c r="J60" s="90" t="s">
        <v>117</v>
      </c>
      <c r="K60" s="49"/>
      <c r="L60" s="85">
        <v>1.0</v>
      </c>
      <c r="M60" s="99" t="s">
        <v>106</v>
      </c>
    </row>
    <row r="61">
      <c r="L61" s="12"/>
    </row>
    <row r="62">
      <c r="I62" s="8" t="s">
        <v>148</v>
      </c>
      <c r="J62" s="10"/>
      <c r="K62" s="10"/>
      <c r="L62" s="10"/>
      <c r="M62" s="13"/>
    </row>
    <row r="63">
      <c r="I63" s="15" t="s">
        <v>13</v>
      </c>
      <c r="J63" s="15" t="s">
        <v>16</v>
      </c>
      <c r="K63" s="24" t="s">
        <v>19</v>
      </c>
      <c r="L63" s="26" t="s">
        <v>24</v>
      </c>
      <c r="M63" s="28" t="s">
        <v>27</v>
      </c>
    </row>
    <row r="64">
      <c r="I64" s="31">
        <v>1.0</v>
      </c>
      <c r="J64" s="32" t="s">
        <v>35</v>
      </c>
      <c r="K64" s="36" t="s">
        <v>140</v>
      </c>
      <c r="L64" s="39">
        <v>1.85</v>
      </c>
      <c r="M64" s="42" t="s">
        <v>46</v>
      </c>
    </row>
    <row r="65">
      <c r="I65" s="31">
        <f t="shared" ref="I65:I66" si="12">I64+1</f>
        <v>2</v>
      </c>
      <c r="J65" s="45" t="s">
        <v>31</v>
      </c>
      <c r="K65" s="23"/>
      <c r="L65" s="39">
        <f>25/110</f>
        <v>0.2272727273</v>
      </c>
      <c r="M65" s="42" t="s">
        <v>59</v>
      </c>
    </row>
    <row r="66">
      <c r="I66" s="52">
        <f t="shared" si="12"/>
        <v>3</v>
      </c>
      <c r="J66" s="55" t="s">
        <v>63</v>
      </c>
      <c r="K66" s="23"/>
      <c r="L66" s="39">
        <f>1/3</f>
        <v>0.3333333333</v>
      </c>
      <c r="M66" s="42" t="s">
        <v>68</v>
      </c>
    </row>
    <row r="67">
      <c r="I67" s="66">
        <v>4.0</v>
      </c>
      <c r="J67" s="63" t="s">
        <v>73</v>
      </c>
      <c r="K67" s="23"/>
      <c r="L67" s="68">
        <v>1.0</v>
      </c>
      <c r="M67" s="42" t="s">
        <v>68</v>
      </c>
    </row>
    <row r="68">
      <c r="I68" s="66">
        <v>5.0</v>
      </c>
      <c r="J68" s="63" t="s">
        <v>91</v>
      </c>
      <c r="K68" s="36" t="s">
        <v>140</v>
      </c>
      <c r="L68" s="68">
        <v>1.0</v>
      </c>
      <c r="M68" s="42" t="s">
        <v>68</v>
      </c>
    </row>
    <row r="69">
      <c r="I69" s="35">
        <v>6.0</v>
      </c>
      <c r="J69" s="69" t="s">
        <v>54</v>
      </c>
      <c r="K69" s="22"/>
      <c r="L69" s="77">
        <v>0.8</v>
      </c>
      <c r="M69" s="79" t="s">
        <v>46</v>
      </c>
    </row>
    <row r="70">
      <c r="I70" s="54">
        <f t="shared" ref="I70:I79" si="13">I69+1</f>
        <v>7</v>
      </c>
      <c r="J70" s="74" t="s">
        <v>64</v>
      </c>
      <c r="K70" s="22"/>
      <c r="L70" s="85">
        <v>2.0</v>
      </c>
      <c r="M70" s="86" t="s">
        <v>106</v>
      </c>
    </row>
    <row r="71">
      <c r="I71" s="54">
        <f t="shared" si="13"/>
        <v>8</v>
      </c>
      <c r="J71" s="74" t="s">
        <v>66</v>
      </c>
      <c r="K71" s="22"/>
      <c r="L71" s="85">
        <v>3.0</v>
      </c>
      <c r="M71" s="86" t="s">
        <v>106</v>
      </c>
    </row>
    <row r="72">
      <c r="I72" s="58">
        <f t="shared" si="13"/>
        <v>9</v>
      </c>
      <c r="J72" s="80" t="s">
        <v>69</v>
      </c>
      <c r="K72" s="22"/>
      <c r="L72" s="77">
        <v>0.25</v>
      </c>
      <c r="M72" s="95" t="s">
        <v>46</v>
      </c>
    </row>
    <row r="73">
      <c r="I73" s="58">
        <f t="shared" si="13"/>
        <v>10</v>
      </c>
      <c r="J73" s="80" t="s">
        <v>71</v>
      </c>
      <c r="K73" s="22"/>
      <c r="L73" s="77">
        <v>0.26</v>
      </c>
      <c r="M73" s="95" t="s">
        <v>46</v>
      </c>
    </row>
    <row r="74">
      <c r="I74" s="62">
        <f t="shared" si="13"/>
        <v>11</v>
      </c>
      <c r="J74" s="84" t="s">
        <v>75</v>
      </c>
      <c r="K74" s="22"/>
      <c r="L74" s="85">
        <v>5.0</v>
      </c>
      <c r="M74" s="99" t="s">
        <v>106</v>
      </c>
    </row>
    <row r="75">
      <c r="I75" s="62">
        <f t="shared" si="13"/>
        <v>12</v>
      </c>
      <c r="J75" s="84" t="s">
        <v>76</v>
      </c>
      <c r="K75" s="22"/>
      <c r="L75" s="77">
        <v>2.5</v>
      </c>
      <c r="M75" s="95" t="s">
        <v>46</v>
      </c>
    </row>
    <row r="76">
      <c r="I76" s="62">
        <f t="shared" si="13"/>
        <v>13</v>
      </c>
      <c r="J76" s="84" t="s">
        <v>79</v>
      </c>
      <c r="K76" s="22"/>
      <c r="L76" s="85">
        <v>4.0</v>
      </c>
      <c r="M76" s="99" t="s">
        <v>106</v>
      </c>
    </row>
    <row r="77">
      <c r="I77" s="62">
        <f t="shared" si="13"/>
        <v>14</v>
      </c>
      <c r="J77" s="84" t="s">
        <v>80</v>
      </c>
      <c r="K77" s="22"/>
      <c r="L77" s="77">
        <v>0.1</v>
      </c>
      <c r="M77" s="95" t="s">
        <v>46</v>
      </c>
    </row>
    <row r="78">
      <c r="I78" s="62">
        <f t="shared" si="13"/>
        <v>15</v>
      </c>
      <c r="J78" s="94" t="s">
        <v>130</v>
      </c>
      <c r="K78" s="22"/>
      <c r="L78" s="85">
        <v>8.0</v>
      </c>
      <c r="M78" s="99" t="s">
        <v>106</v>
      </c>
    </row>
    <row r="79">
      <c r="I79" s="62">
        <f t="shared" si="13"/>
        <v>16</v>
      </c>
      <c r="J79" s="94" t="s">
        <v>131</v>
      </c>
      <c r="K79" s="22"/>
      <c r="L79" s="85">
        <v>8.0</v>
      </c>
      <c r="M79" s="99" t="s">
        <v>106</v>
      </c>
    </row>
    <row r="80">
      <c r="I80" s="62">
        <f>I78+1</f>
        <v>16</v>
      </c>
      <c r="J80" s="94" t="s">
        <v>132</v>
      </c>
      <c r="K80" s="40" t="s">
        <v>140</v>
      </c>
      <c r="L80" s="85">
        <v>1.0</v>
      </c>
      <c r="M80" s="99" t="s">
        <v>106</v>
      </c>
    </row>
    <row r="81">
      <c r="I81" s="62">
        <f t="shared" ref="I81:I89" si="14">I80+1</f>
        <v>17</v>
      </c>
      <c r="J81" s="84" t="s">
        <v>90</v>
      </c>
      <c r="K81" s="105" t="s">
        <v>140</v>
      </c>
      <c r="L81" s="85">
        <v>1.0</v>
      </c>
      <c r="M81" s="99" t="s">
        <v>106</v>
      </c>
    </row>
    <row r="82">
      <c r="I82" s="62">
        <f t="shared" si="14"/>
        <v>18</v>
      </c>
      <c r="J82" s="84" t="s">
        <v>92</v>
      </c>
      <c r="K82" s="49"/>
      <c r="L82" s="85">
        <v>1.0</v>
      </c>
      <c r="M82" s="99" t="s">
        <v>106</v>
      </c>
    </row>
    <row r="83">
      <c r="I83" s="62">
        <f t="shared" si="14"/>
        <v>19</v>
      </c>
      <c r="J83" s="84" t="s">
        <v>93</v>
      </c>
      <c r="K83" s="49"/>
      <c r="L83" s="85">
        <v>1.0</v>
      </c>
      <c r="M83" s="99" t="s">
        <v>106</v>
      </c>
    </row>
    <row r="84">
      <c r="I84" s="107">
        <f t="shared" si="14"/>
        <v>20</v>
      </c>
      <c r="J84" s="49" t="s">
        <v>123</v>
      </c>
      <c r="K84" s="49"/>
      <c r="L84" s="85">
        <v>1.0</v>
      </c>
      <c r="M84" s="99" t="s">
        <v>106</v>
      </c>
    </row>
    <row r="85">
      <c r="I85" s="107">
        <f t="shared" si="14"/>
        <v>21</v>
      </c>
      <c r="J85" s="49" t="s">
        <v>124</v>
      </c>
      <c r="K85" s="49"/>
      <c r="L85" s="85">
        <v>1.0</v>
      </c>
      <c r="M85" s="99" t="s">
        <v>106</v>
      </c>
    </row>
    <row r="86">
      <c r="I86" s="107">
        <f t="shared" si="14"/>
        <v>22</v>
      </c>
      <c r="J86" s="49" t="s">
        <v>125</v>
      </c>
      <c r="K86" s="49"/>
      <c r="L86" s="85">
        <v>1.0</v>
      </c>
      <c r="M86" s="99" t="s">
        <v>106</v>
      </c>
    </row>
    <row r="87">
      <c r="I87" s="107">
        <f t="shared" si="14"/>
        <v>23</v>
      </c>
      <c r="J87" s="49" t="s">
        <v>127</v>
      </c>
      <c r="K87" s="49"/>
      <c r="L87" s="85">
        <v>1.0</v>
      </c>
      <c r="M87" s="99" t="s">
        <v>106</v>
      </c>
    </row>
    <row r="88">
      <c r="I88" s="101">
        <f t="shared" si="14"/>
        <v>24</v>
      </c>
      <c r="J88" s="90" t="s">
        <v>120</v>
      </c>
      <c r="K88" s="49"/>
      <c r="L88" s="85">
        <v>1.0</v>
      </c>
      <c r="M88" s="99" t="s">
        <v>106</v>
      </c>
    </row>
    <row r="89">
      <c r="I89" s="101">
        <f t="shared" si="14"/>
        <v>25</v>
      </c>
      <c r="J89" s="90" t="s">
        <v>117</v>
      </c>
      <c r="K89" s="49"/>
      <c r="L89" s="85">
        <v>1.0</v>
      </c>
      <c r="M89" s="99" t="s">
        <v>106</v>
      </c>
    </row>
    <row r="90">
      <c r="L90" s="12"/>
    </row>
    <row r="91">
      <c r="I91" s="8" t="s">
        <v>157</v>
      </c>
      <c r="J91" s="10"/>
      <c r="K91" s="10"/>
      <c r="L91" s="10"/>
      <c r="M91" s="13"/>
    </row>
    <row r="92">
      <c r="I92" s="15" t="s">
        <v>13</v>
      </c>
      <c r="J92" s="15" t="s">
        <v>16</v>
      </c>
      <c r="K92" s="24" t="s">
        <v>19</v>
      </c>
      <c r="L92" s="26" t="s">
        <v>24</v>
      </c>
      <c r="M92" s="28" t="s">
        <v>27</v>
      </c>
    </row>
    <row r="93">
      <c r="I93" s="31">
        <v>1.0</v>
      </c>
      <c r="J93" s="32" t="s">
        <v>35</v>
      </c>
      <c r="K93" s="36" t="s">
        <v>61</v>
      </c>
      <c r="L93" s="39">
        <v>2.0</v>
      </c>
      <c r="M93" s="42" t="s">
        <v>46</v>
      </c>
    </row>
    <row r="94">
      <c r="I94" s="31">
        <f t="shared" ref="I94:I95" si="15">I93+1</f>
        <v>2</v>
      </c>
      <c r="J94" s="45" t="s">
        <v>31</v>
      </c>
      <c r="K94" s="23"/>
      <c r="L94" s="39">
        <f>25/110</f>
        <v>0.2272727273</v>
      </c>
      <c r="M94" s="42" t="s">
        <v>59</v>
      </c>
    </row>
    <row r="95">
      <c r="I95" s="52">
        <f t="shared" si="15"/>
        <v>3</v>
      </c>
      <c r="J95" s="55" t="s">
        <v>63</v>
      </c>
      <c r="K95" s="23"/>
      <c r="L95" s="39">
        <f>1/3</f>
        <v>0.3333333333</v>
      </c>
      <c r="M95" s="42" t="s">
        <v>68</v>
      </c>
    </row>
    <row r="96">
      <c r="I96" s="66">
        <v>4.0</v>
      </c>
      <c r="J96" s="63" t="s">
        <v>73</v>
      </c>
      <c r="K96" s="23"/>
      <c r="L96" s="68">
        <v>1.0</v>
      </c>
      <c r="M96" s="42" t="s">
        <v>68</v>
      </c>
    </row>
    <row r="97">
      <c r="I97" s="66">
        <v>5.0</v>
      </c>
      <c r="J97" s="63" t="s">
        <v>101</v>
      </c>
      <c r="K97" s="36" t="s">
        <v>61</v>
      </c>
      <c r="L97" s="68">
        <v>1.0</v>
      </c>
      <c r="M97" s="42" t="s">
        <v>68</v>
      </c>
    </row>
    <row r="98">
      <c r="I98" s="35">
        <v>6.0</v>
      </c>
      <c r="J98" s="69" t="s">
        <v>54</v>
      </c>
      <c r="K98" s="22"/>
      <c r="L98" s="77">
        <v>0.8</v>
      </c>
      <c r="M98" s="79" t="s">
        <v>46</v>
      </c>
    </row>
    <row r="99">
      <c r="I99" s="54">
        <f t="shared" ref="I99:I108" si="16">I98+1</f>
        <v>7</v>
      </c>
      <c r="J99" s="74" t="s">
        <v>64</v>
      </c>
      <c r="K99" s="22"/>
      <c r="L99" s="85">
        <v>2.0</v>
      </c>
      <c r="M99" s="86" t="s">
        <v>106</v>
      </c>
    </row>
    <row r="100">
      <c r="I100" s="54">
        <f t="shared" si="16"/>
        <v>8</v>
      </c>
      <c r="J100" s="74" t="s">
        <v>66</v>
      </c>
      <c r="K100" s="22"/>
      <c r="L100" s="85">
        <v>3.0</v>
      </c>
      <c r="M100" s="86" t="s">
        <v>106</v>
      </c>
    </row>
    <row r="101">
      <c r="I101" s="58">
        <f t="shared" si="16"/>
        <v>9</v>
      </c>
      <c r="J101" s="80" t="s">
        <v>69</v>
      </c>
      <c r="K101" s="22"/>
      <c r="L101" s="77">
        <v>0.25</v>
      </c>
      <c r="M101" s="95" t="s">
        <v>46</v>
      </c>
    </row>
    <row r="102">
      <c r="I102" s="58">
        <f t="shared" si="16"/>
        <v>10</v>
      </c>
      <c r="J102" s="80" t="s">
        <v>71</v>
      </c>
      <c r="K102" s="22"/>
      <c r="L102" s="77">
        <v>0.26</v>
      </c>
      <c r="M102" s="95" t="s">
        <v>46</v>
      </c>
    </row>
    <row r="103">
      <c r="I103" s="62">
        <f t="shared" si="16"/>
        <v>11</v>
      </c>
      <c r="J103" s="84" t="s">
        <v>75</v>
      </c>
      <c r="K103" s="22"/>
      <c r="L103" s="85">
        <v>5.0</v>
      </c>
      <c r="M103" s="99" t="s">
        <v>106</v>
      </c>
    </row>
    <row r="104">
      <c r="I104" s="62">
        <f t="shared" si="16"/>
        <v>12</v>
      </c>
      <c r="J104" s="84" t="s">
        <v>76</v>
      </c>
      <c r="K104" s="22"/>
      <c r="L104" s="77">
        <v>2.5</v>
      </c>
      <c r="M104" s="95" t="s">
        <v>46</v>
      </c>
    </row>
    <row r="105">
      <c r="I105" s="62">
        <f t="shared" si="16"/>
        <v>13</v>
      </c>
      <c r="J105" s="84" t="s">
        <v>79</v>
      </c>
      <c r="K105" s="22"/>
      <c r="L105" s="85">
        <v>4.0</v>
      </c>
      <c r="M105" s="99" t="s">
        <v>106</v>
      </c>
    </row>
    <row r="106">
      <c r="I106" s="62">
        <f t="shared" si="16"/>
        <v>14</v>
      </c>
      <c r="J106" s="84" t="s">
        <v>80</v>
      </c>
      <c r="K106" s="22"/>
      <c r="L106" s="77">
        <v>0.1</v>
      </c>
      <c r="M106" s="95" t="s">
        <v>46</v>
      </c>
    </row>
    <row r="107">
      <c r="I107" s="62">
        <f t="shared" si="16"/>
        <v>15</v>
      </c>
      <c r="J107" s="94" t="s">
        <v>130</v>
      </c>
      <c r="K107" s="22"/>
      <c r="L107" s="85">
        <v>8.0</v>
      </c>
      <c r="M107" s="99" t="s">
        <v>106</v>
      </c>
    </row>
    <row r="108">
      <c r="I108" s="62">
        <f t="shared" si="16"/>
        <v>16</v>
      </c>
      <c r="J108" s="94" t="s">
        <v>131</v>
      </c>
      <c r="K108" s="22"/>
      <c r="L108" s="85">
        <v>8.0</v>
      </c>
      <c r="M108" s="99" t="s">
        <v>106</v>
      </c>
    </row>
    <row r="109">
      <c r="I109" s="62">
        <f>I107+1</f>
        <v>16</v>
      </c>
      <c r="J109" s="94" t="s">
        <v>132</v>
      </c>
      <c r="K109" s="40" t="s">
        <v>61</v>
      </c>
      <c r="L109" s="85">
        <v>1.0</v>
      </c>
      <c r="M109" s="99" t="s">
        <v>106</v>
      </c>
    </row>
    <row r="110">
      <c r="I110" s="62">
        <f t="shared" ref="I110:I118" si="17">I109+1</f>
        <v>17</v>
      </c>
      <c r="J110" s="84" t="s">
        <v>90</v>
      </c>
      <c r="K110" s="105" t="s">
        <v>61</v>
      </c>
      <c r="L110" s="85">
        <v>1.0</v>
      </c>
      <c r="M110" s="99" t="s">
        <v>106</v>
      </c>
    </row>
    <row r="111">
      <c r="I111" s="62">
        <f t="shared" si="17"/>
        <v>18</v>
      </c>
      <c r="J111" s="84" t="s">
        <v>92</v>
      </c>
      <c r="K111" s="49"/>
      <c r="L111" s="85">
        <v>1.0</v>
      </c>
      <c r="M111" s="99" t="s">
        <v>106</v>
      </c>
    </row>
    <row r="112">
      <c r="I112" s="62">
        <f t="shared" si="17"/>
        <v>19</v>
      </c>
      <c r="J112" s="84" t="s">
        <v>93</v>
      </c>
      <c r="K112" s="49"/>
      <c r="L112" s="85">
        <v>1.0</v>
      </c>
      <c r="M112" s="99" t="s">
        <v>106</v>
      </c>
    </row>
    <row r="113">
      <c r="I113" s="107">
        <f t="shared" si="17"/>
        <v>20</v>
      </c>
      <c r="J113" s="49" t="s">
        <v>123</v>
      </c>
      <c r="K113" s="49"/>
      <c r="L113" s="85">
        <v>1.0</v>
      </c>
      <c r="M113" s="99" t="s">
        <v>106</v>
      </c>
    </row>
    <row r="114">
      <c r="I114" s="107">
        <f t="shared" si="17"/>
        <v>21</v>
      </c>
      <c r="J114" s="49" t="s">
        <v>124</v>
      </c>
      <c r="K114" s="49"/>
      <c r="L114" s="85">
        <v>1.0</v>
      </c>
      <c r="M114" s="99" t="s">
        <v>106</v>
      </c>
    </row>
    <row r="115">
      <c r="I115" s="107">
        <f t="shared" si="17"/>
        <v>22</v>
      </c>
      <c r="J115" s="49" t="s">
        <v>125</v>
      </c>
      <c r="K115" s="49"/>
      <c r="L115" s="85">
        <v>1.0</v>
      </c>
      <c r="M115" s="99" t="s">
        <v>106</v>
      </c>
    </row>
    <row r="116">
      <c r="I116" s="107">
        <f t="shared" si="17"/>
        <v>23</v>
      </c>
      <c r="J116" s="49" t="s">
        <v>127</v>
      </c>
      <c r="K116" s="49"/>
      <c r="L116" s="85">
        <v>1.0</v>
      </c>
      <c r="M116" s="99" t="s">
        <v>106</v>
      </c>
    </row>
    <row r="117">
      <c r="I117" s="101">
        <f t="shared" si="17"/>
        <v>24</v>
      </c>
      <c r="J117" s="90" t="s">
        <v>120</v>
      </c>
      <c r="K117" s="49"/>
      <c r="L117" s="85">
        <v>1.0</v>
      </c>
      <c r="M117" s="99" t="s">
        <v>106</v>
      </c>
    </row>
    <row r="118">
      <c r="I118" s="101">
        <f t="shared" si="17"/>
        <v>25</v>
      </c>
      <c r="J118" s="90" t="s">
        <v>117</v>
      </c>
      <c r="K118" s="49"/>
      <c r="L118" s="85">
        <v>1.0</v>
      </c>
      <c r="M118" s="99" t="s">
        <v>106</v>
      </c>
    </row>
    <row r="119">
      <c r="L119" s="12"/>
    </row>
    <row r="120">
      <c r="I120" s="8" t="s">
        <v>161</v>
      </c>
      <c r="J120" s="10"/>
      <c r="K120" s="10"/>
      <c r="L120" s="10"/>
      <c r="M120" s="13"/>
    </row>
    <row r="121">
      <c r="I121" s="15" t="s">
        <v>13</v>
      </c>
      <c r="J121" s="15" t="s">
        <v>16</v>
      </c>
      <c r="K121" s="24" t="s">
        <v>19</v>
      </c>
      <c r="L121" s="26" t="s">
        <v>24</v>
      </c>
      <c r="M121" s="28" t="s">
        <v>27</v>
      </c>
    </row>
    <row r="122">
      <c r="I122" s="31">
        <v>1.0</v>
      </c>
      <c r="J122" s="32" t="s">
        <v>35</v>
      </c>
      <c r="K122" s="36" t="s">
        <v>153</v>
      </c>
      <c r="L122" s="39">
        <v>2.2</v>
      </c>
      <c r="M122" s="42" t="s">
        <v>46</v>
      </c>
    </row>
    <row r="123">
      <c r="I123" s="31">
        <f t="shared" ref="I123:I124" si="18">I122+1</f>
        <v>2</v>
      </c>
      <c r="J123" s="45" t="s">
        <v>31</v>
      </c>
      <c r="K123" s="23"/>
      <c r="L123" s="39">
        <f>25/110</f>
        <v>0.2272727273</v>
      </c>
      <c r="M123" s="42" t="s">
        <v>59</v>
      </c>
    </row>
    <row r="124">
      <c r="I124" s="52">
        <f t="shared" si="18"/>
        <v>3</v>
      </c>
      <c r="J124" s="55" t="s">
        <v>63</v>
      </c>
      <c r="K124" s="23"/>
      <c r="L124" s="39">
        <f>1/3</f>
        <v>0.3333333333</v>
      </c>
      <c r="M124" s="42" t="s">
        <v>68</v>
      </c>
    </row>
    <row r="125">
      <c r="I125" s="66">
        <v>4.0</v>
      </c>
      <c r="J125" s="63" t="s">
        <v>73</v>
      </c>
      <c r="K125" s="23"/>
      <c r="L125" s="68">
        <v>1.0</v>
      </c>
      <c r="M125" s="42" t="s">
        <v>68</v>
      </c>
    </row>
    <row r="126">
      <c r="I126" s="66">
        <v>5.0</v>
      </c>
      <c r="J126" s="63" t="s">
        <v>101</v>
      </c>
      <c r="K126" s="36" t="s">
        <v>153</v>
      </c>
      <c r="L126" s="68">
        <v>1.0</v>
      </c>
      <c r="M126" s="42" t="s">
        <v>68</v>
      </c>
    </row>
    <row r="127">
      <c r="I127" s="35">
        <v>6.0</v>
      </c>
      <c r="J127" s="69" t="s">
        <v>54</v>
      </c>
      <c r="K127" s="22"/>
      <c r="L127" s="77">
        <v>0.8</v>
      </c>
      <c r="M127" s="79" t="s">
        <v>46</v>
      </c>
    </row>
    <row r="128">
      <c r="I128" s="54">
        <f t="shared" ref="I128:I137" si="19">I127+1</f>
        <v>7</v>
      </c>
      <c r="J128" s="74" t="s">
        <v>64</v>
      </c>
      <c r="K128" s="22"/>
      <c r="L128" s="85">
        <v>2.0</v>
      </c>
      <c r="M128" s="86" t="s">
        <v>106</v>
      </c>
    </row>
    <row r="129">
      <c r="I129" s="54">
        <f t="shared" si="19"/>
        <v>8</v>
      </c>
      <c r="J129" s="74" t="s">
        <v>66</v>
      </c>
      <c r="K129" s="22"/>
      <c r="L129" s="85">
        <v>3.0</v>
      </c>
      <c r="M129" s="86" t="s">
        <v>106</v>
      </c>
    </row>
    <row r="130">
      <c r="I130" s="58">
        <f t="shared" si="19"/>
        <v>9</v>
      </c>
      <c r="J130" s="80" t="s">
        <v>69</v>
      </c>
      <c r="K130" s="22"/>
      <c r="L130" s="77">
        <v>0.25</v>
      </c>
      <c r="M130" s="95" t="s">
        <v>46</v>
      </c>
    </row>
    <row r="131">
      <c r="I131" s="58">
        <f t="shared" si="19"/>
        <v>10</v>
      </c>
      <c r="J131" s="80" t="s">
        <v>71</v>
      </c>
      <c r="K131" s="22"/>
      <c r="L131" s="77">
        <v>0.26</v>
      </c>
      <c r="M131" s="95" t="s">
        <v>46</v>
      </c>
    </row>
    <row r="132">
      <c r="I132" s="62">
        <f t="shared" si="19"/>
        <v>11</v>
      </c>
      <c r="J132" s="84" t="s">
        <v>75</v>
      </c>
      <c r="K132" s="22"/>
      <c r="L132" s="85">
        <v>5.0</v>
      </c>
      <c r="M132" s="99" t="s">
        <v>106</v>
      </c>
    </row>
    <row r="133">
      <c r="I133" s="62">
        <f t="shared" si="19"/>
        <v>12</v>
      </c>
      <c r="J133" s="84" t="s">
        <v>76</v>
      </c>
      <c r="K133" s="22"/>
      <c r="L133" s="77">
        <v>2.5</v>
      </c>
      <c r="M133" s="95" t="s">
        <v>46</v>
      </c>
    </row>
    <row r="134">
      <c r="I134" s="62">
        <f t="shared" si="19"/>
        <v>13</v>
      </c>
      <c r="J134" s="84" t="s">
        <v>79</v>
      </c>
      <c r="K134" s="22"/>
      <c r="L134" s="85">
        <v>4.0</v>
      </c>
      <c r="M134" s="99" t="s">
        <v>106</v>
      </c>
    </row>
    <row r="135">
      <c r="I135" s="62">
        <f t="shared" si="19"/>
        <v>14</v>
      </c>
      <c r="J135" s="84" t="s">
        <v>80</v>
      </c>
      <c r="K135" s="22"/>
      <c r="L135" s="77">
        <v>0.1</v>
      </c>
      <c r="M135" s="95" t="s">
        <v>46</v>
      </c>
    </row>
    <row r="136">
      <c r="I136" s="62">
        <f t="shared" si="19"/>
        <v>15</v>
      </c>
      <c r="J136" s="94" t="s">
        <v>130</v>
      </c>
      <c r="K136" s="22"/>
      <c r="L136" s="85">
        <v>8.0</v>
      </c>
      <c r="M136" s="99" t="s">
        <v>106</v>
      </c>
    </row>
    <row r="137">
      <c r="I137" s="62">
        <f t="shared" si="19"/>
        <v>16</v>
      </c>
      <c r="J137" s="94" t="s">
        <v>131</v>
      </c>
      <c r="K137" s="22"/>
      <c r="L137" s="85">
        <v>8.0</v>
      </c>
      <c r="M137" s="99" t="s">
        <v>106</v>
      </c>
    </row>
    <row r="138">
      <c r="I138" s="62">
        <f>I136+1</f>
        <v>16</v>
      </c>
      <c r="J138" s="94" t="s">
        <v>132</v>
      </c>
      <c r="K138" s="40" t="s">
        <v>153</v>
      </c>
      <c r="L138" s="85">
        <v>1.0</v>
      </c>
      <c r="M138" s="99" t="s">
        <v>106</v>
      </c>
    </row>
    <row r="139">
      <c r="I139" s="62">
        <f t="shared" ref="I139:I147" si="20">I138+1</f>
        <v>17</v>
      </c>
      <c r="J139" s="84" t="s">
        <v>90</v>
      </c>
      <c r="K139" s="105" t="s">
        <v>153</v>
      </c>
      <c r="L139" s="85">
        <v>1.0</v>
      </c>
      <c r="M139" s="99" t="s">
        <v>106</v>
      </c>
    </row>
    <row r="140">
      <c r="I140" s="62">
        <f t="shared" si="20"/>
        <v>18</v>
      </c>
      <c r="J140" s="84" t="s">
        <v>92</v>
      </c>
      <c r="K140" s="49"/>
      <c r="L140" s="85">
        <v>1.0</v>
      </c>
      <c r="M140" s="99" t="s">
        <v>106</v>
      </c>
    </row>
    <row r="141">
      <c r="I141" s="62">
        <f t="shared" si="20"/>
        <v>19</v>
      </c>
      <c r="J141" s="84" t="s">
        <v>93</v>
      </c>
      <c r="K141" s="49"/>
      <c r="L141" s="85">
        <v>1.0</v>
      </c>
      <c r="M141" s="99" t="s">
        <v>106</v>
      </c>
    </row>
    <row r="142">
      <c r="I142" s="107">
        <f t="shared" si="20"/>
        <v>20</v>
      </c>
      <c r="J142" s="49" t="s">
        <v>123</v>
      </c>
      <c r="K142" s="49"/>
      <c r="L142" s="85">
        <v>1.0</v>
      </c>
      <c r="M142" s="99" t="s">
        <v>106</v>
      </c>
    </row>
    <row r="143">
      <c r="I143" s="107">
        <f t="shared" si="20"/>
        <v>21</v>
      </c>
      <c r="J143" s="49" t="s">
        <v>124</v>
      </c>
      <c r="K143" s="49"/>
      <c r="L143" s="85">
        <v>1.0</v>
      </c>
      <c r="M143" s="99" t="s">
        <v>106</v>
      </c>
    </row>
    <row r="144">
      <c r="I144" s="107">
        <f t="shared" si="20"/>
        <v>22</v>
      </c>
      <c r="J144" s="49" t="s">
        <v>125</v>
      </c>
      <c r="K144" s="49"/>
      <c r="L144" s="85">
        <v>1.0</v>
      </c>
      <c r="M144" s="99" t="s">
        <v>106</v>
      </c>
    </row>
    <row r="145">
      <c r="I145" s="107">
        <f t="shared" si="20"/>
        <v>23</v>
      </c>
      <c r="J145" s="49" t="s">
        <v>127</v>
      </c>
      <c r="K145" s="49"/>
      <c r="L145" s="85">
        <v>1.0</v>
      </c>
      <c r="M145" s="99" t="s">
        <v>106</v>
      </c>
    </row>
    <row r="146">
      <c r="I146" s="101">
        <f t="shared" si="20"/>
        <v>24</v>
      </c>
      <c r="J146" s="90" t="s">
        <v>120</v>
      </c>
      <c r="K146" s="49"/>
      <c r="L146" s="85">
        <v>1.0</v>
      </c>
      <c r="M146" s="99" t="s">
        <v>106</v>
      </c>
    </row>
    <row r="147">
      <c r="I147" s="101">
        <f t="shared" si="20"/>
        <v>25</v>
      </c>
      <c r="J147" s="90" t="s">
        <v>117</v>
      </c>
      <c r="K147" s="49"/>
      <c r="L147" s="85">
        <v>1.0</v>
      </c>
      <c r="M147" s="99" t="s">
        <v>106</v>
      </c>
    </row>
    <row r="148">
      <c r="L148" s="12"/>
    </row>
    <row r="149">
      <c r="L149" s="12"/>
    </row>
    <row r="150">
      <c r="L150" s="12"/>
    </row>
    <row r="151">
      <c r="L151" s="12"/>
    </row>
    <row r="152">
      <c r="L152" s="12"/>
    </row>
    <row r="153">
      <c r="L153" s="12"/>
    </row>
    <row r="154">
      <c r="L154" s="12"/>
    </row>
    <row r="155">
      <c r="L155" s="12"/>
    </row>
    <row r="156">
      <c r="L156" s="12"/>
    </row>
    <row r="157">
      <c r="L157" s="12"/>
    </row>
    <row r="158">
      <c r="L158" s="12"/>
    </row>
    <row r="159">
      <c r="L159" s="12"/>
    </row>
    <row r="160">
      <c r="L160" s="12"/>
    </row>
    <row r="161">
      <c r="L161" s="12"/>
    </row>
    <row r="162">
      <c r="L162" s="12"/>
    </row>
    <row r="163">
      <c r="L163" s="12"/>
    </row>
    <row r="164">
      <c r="L164" s="12"/>
    </row>
    <row r="165">
      <c r="L165" s="12"/>
    </row>
    <row r="166">
      <c r="L166" s="12"/>
    </row>
    <row r="167">
      <c r="L167" s="12"/>
    </row>
    <row r="168">
      <c r="L168" s="12"/>
    </row>
    <row r="169">
      <c r="L169" s="12"/>
    </row>
    <row r="170">
      <c r="L170" s="12"/>
    </row>
    <row r="171">
      <c r="L171" s="12"/>
    </row>
    <row r="172">
      <c r="L172" s="12"/>
    </row>
    <row r="173">
      <c r="L173" s="12"/>
    </row>
    <row r="174">
      <c r="L174" s="12"/>
    </row>
    <row r="175">
      <c r="L175" s="12"/>
    </row>
    <row r="176">
      <c r="L176" s="12"/>
    </row>
    <row r="177">
      <c r="L177" s="12"/>
    </row>
    <row r="178">
      <c r="L178" s="12"/>
    </row>
    <row r="179">
      <c r="L179" s="12"/>
    </row>
    <row r="180">
      <c r="L180" s="12"/>
    </row>
    <row r="181">
      <c r="L181" s="12"/>
    </row>
    <row r="182">
      <c r="L182" s="12"/>
    </row>
    <row r="183">
      <c r="L183" s="12"/>
    </row>
    <row r="184">
      <c r="L184" s="12"/>
    </row>
    <row r="185">
      <c r="L185" s="12"/>
    </row>
    <row r="186">
      <c r="L186" s="12"/>
    </row>
    <row r="187">
      <c r="L187" s="12"/>
    </row>
    <row r="188">
      <c r="L188" s="12"/>
    </row>
    <row r="189">
      <c r="L189" s="12"/>
    </row>
    <row r="190">
      <c r="L190" s="12"/>
    </row>
    <row r="191">
      <c r="L191" s="12"/>
    </row>
    <row r="192">
      <c r="L192" s="12"/>
    </row>
    <row r="193">
      <c r="L193" s="12"/>
    </row>
    <row r="194">
      <c r="L194" s="12"/>
    </row>
    <row r="195">
      <c r="L195" s="12"/>
    </row>
    <row r="196">
      <c r="L196" s="12"/>
    </row>
    <row r="197">
      <c r="L197" s="12"/>
    </row>
    <row r="198">
      <c r="L198" s="12"/>
    </row>
    <row r="199">
      <c r="L199" s="12"/>
    </row>
    <row r="200">
      <c r="L200" s="12"/>
    </row>
    <row r="201">
      <c r="L201" s="12"/>
    </row>
    <row r="202">
      <c r="L202" s="12"/>
    </row>
    <row r="203">
      <c r="L203" s="12"/>
    </row>
    <row r="204">
      <c r="L204" s="12"/>
    </row>
    <row r="205">
      <c r="L205" s="12"/>
    </row>
    <row r="206">
      <c r="L206" s="12"/>
    </row>
    <row r="207">
      <c r="L207" s="12"/>
    </row>
    <row r="208">
      <c r="L208" s="12"/>
    </row>
    <row r="209">
      <c r="L209" s="12"/>
    </row>
    <row r="210">
      <c r="L210" s="12"/>
    </row>
    <row r="211">
      <c r="L211" s="12"/>
    </row>
    <row r="212">
      <c r="L212" s="12"/>
    </row>
    <row r="213">
      <c r="L213" s="12"/>
    </row>
    <row r="214">
      <c r="L214" s="12"/>
    </row>
    <row r="215">
      <c r="L215" s="12"/>
    </row>
    <row r="216">
      <c r="L216" s="12"/>
    </row>
    <row r="217">
      <c r="L217" s="12"/>
    </row>
    <row r="218">
      <c r="L218" s="12"/>
    </row>
    <row r="219">
      <c r="L219" s="12"/>
    </row>
    <row r="220">
      <c r="L220" s="12"/>
    </row>
    <row r="221">
      <c r="L221" s="12"/>
    </row>
    <row r="222">
      <c r="L222" s="12"/>
    </row>
    <row r="223">
      <c r="L223" s="12"/>
    </row>
    <row r="224">
      <c r="L224" s="12"/>
    </row>
    <row r="225">
      <c r="L225" s="12"/>
    </row>
    <row r="226">
      <c r="L226" s="12"/>
    </row>
    <row r="227">
      <c r="L227" s="12"/>
    </row>
    <row r="228">
      <c r="L228" s="12"/>
    </row>
    <row r="229">
      <c r="L229" s="12"/>
    </row>
    <row r="230">
      <c r="L230" s="12"/>
    </row>
    <row r="231">
      <c r="L231" s="12"/>
    </row>
    <row r="232">
      <c r="L232" s="12"/>
    </row>
    <row r="233">
      <c r="L233" s="12"/>
    </row>
    <row r="234">
      <c r="L234" s="12"/>
    </row>
    <row r="235">
      <c r="L235" s="12"/>
    </row>
    <row r="236">
      <c r="L236" s="12"/>
    </row>
    <row r="237">
      <c r="L237" s="12"/>
    </row>
    <row r="238">
      <c r="L238" s="12"/>
    </row>
    <row r="239">
      <c r="L239" s="12"/>
    </row>
    <row r="240">
      <c r="L240" s="12"/>
    </row>
    <row r="241">
      <c r="L241" s="12"/>
    </row>
    <row r="242">
      <c r="L242" s="12"/>
    </row>
    <row r="243">
      <c r="L243" s="12"/>
    </row>
    <row r="244">
      <c r="L244" s="12"/>
    </row>
    <row r="245">
      <c r="L245" s="12"/>
    </row>
    <row r="246">
      <c r="L246" s="12"/>
    </row>
    <row r="247">
      <c r="L247" s="12"/>
    </row>
    <row r="248">
      <c r="L248" s="12"/>
    </row>
    <row r="249">
      <c r="L249" s="12"/>
    </row>
    <row r="250">
      <c r="L250" s="12"/>
    </row>
    <row r="251">
      <c r="L251" s="12"/>
    </row>
    <row r="252">
      <c r="L252" s="12"/>
    </row>
    <row r="253">
      <c r="L253" s="12"/>
    </row>
    <row r="254">
      <c r="L254" s="12"/>
    </row>
    <row r="255">
      <c r="L255" s="12"/>
    </row>
    <row r="256">
      <c r="L256" s="12"/>
    </row>
    <row r="257">
      <c r="L257" s="12"/>
    </row>
    <row r="258">
      <c r="L258" s="12"/>
    </row>
    <row r="259">
      <c r="L259" s="12"/>
    </row>
    <row r="260">
      <c r="L260" s="12"/>
    </row>
    <row r="261">
      <c r="L261" s="12"/>
    </row>
    <row r="262">
      <c r="L262" s="12"/>
    </row>
    <row r="263">
      <c r="L263" s="12"/>
    </row>
    <row r="264">
      <c r="L264" s="12"/>
    </row>
    <row r="265">
      <c r="L265" s="12"/>
    </row>
    <row r="266">
      <c r="L266" s="12"/>
    </row>
    <row r="267">
      <c r="L267" s="12"/>
    </row>
    <row r="268">
      <c r="L268" s="12"/>
    </row>
    <row r="269">
      <c r="L269" s="12"/>
    </row>
    <row r="270">
      <c r="L270" s="12"/>
    </row>
    <row r="271">
      <c r="L271" s="12"/>
    </row>
    <row r="272">
      <c r="L272" s="12"/>
    </row>
    <row r="273">
      <c r="L273" s="12"/>
    </row>
    <row r="274">
      <c r="L274" s="12"/>
    </row>
    <row r="275">
      <c r="L275" s="12"/>
    </row>
    <row r="276">
      <c r="L276" s="12"/>
    </row>
    <row r="277">
      <c r="L277" s="12"/>
    </row>
    <row r="278">
      <c r="L278" s="12"/>
    </row>
    <row r="279">
      <c r="L279" s="12"/>
    </row>
    <row r="280">
      <c r="L280" s="12"/>
    </row>
    <row r="281">
      <c r="L281" s="12"/>
    </row>
    <row r="282">
      <c r="L282" s="12"/>
    </row>
    <row r="283">
      <c r="L283" s="12"/>
    </row>
    <row r="284">
      <c r="L284" s="12"/>
    </row>
    <row r="285">
      <c r="L285" s="12"/>
    </row>
    <row r="286">
      <c r="L286" s="12"/>
    </row>
    <row r="287">
      <c r="L287" s="12"/>
    </row>
    <row r="288">
      <c r="L288" s="12"/>
    </row>
    <row r="289">
      <c r="L289" s="12"/>
    </row>
    <row r="290">
      <c r="L290" s="12"/>
    </row>
    <row r="291">
      <c r="L291" s="12"/>
    </row>
    <row r="292">
      <c r="L292" s="12"/>
    </row>
    <row r="293">
      <c r="L293" s="12"/>
    </row>
    <row r="294">
      <c r="L294" s="12"/>
    </row>
    <row r="295">
      <c r="L295" s="12"/>
    </row>
    <row r="296">
      <c r="L296" s="12"/>
    </row>
    <row r="297">
      <c r="L297" s="12"/>
    </row>
    <row r="298">
      <c r="L298" s="12"/>
    </row>
    <row r="299">
      <c r="L299" s="12"/>
    </row>
    <row r="300">
      <c r="L300" s="12"/>
    </row>
    <row r="301">
      <c r="L301" s="12"/>
    </row>
    <row r="302">
      <c r="L302" s="12"/>
    </row>
    <row r="303">
      <c r="L303" s="12"/>
    </row>
    <row r="304">
      <c r="L304" s="12"/>
    </row>
    <row r="305">
      <c r="L305" s="12"/>
    </row>
    <row r="306">
      <c r="L306" s="12"/>
    </row>
    <row r="307">
      <c r="L307" s="12"/>
    </row>
    <row r="308">
      <c r="L308" s="12"/>
    </row>
    <row r="309">
      <c r="L309" s="12"/>
    </row>
    <row r="310">
      <c r="L310" s="12"/>
    </row>
    <row r="311">
      <c r="L311" s="12"/>
    </row>
    <row r="312">
      <c r="L312" s="12"/>
    </row>
    <row r="313">
      <c r="L313" s="12"/>
    </row>
    <row r="314">
      <c r="L314" s="12"/>
    </row>
    <row r="315">
      <c r="L315" s="12"/>
    </row>
    <row r="316">
      <c r="L316" s="12"/>
    </row>
    <row r="317">
      <c r="L317" s="12"/>
    </row>
    <row r="318">
      <c r="L318" s="12"/>
    </row>
    <row r="319">
      <c r="L319" s="12"/>
    </row>
    <row r="320">
      <c r="L320" s="12"/>
    </row>
    <row r="321">
      <c r="L321" s="12"/>
    </row>
    <row r="322">
      <c r="L322" s="12"/>
    </row>
    <row r="323">
      <c r="L323" s="12"/>
    </row>
    <row r="324">
      <c r="L324" s="12"/>
    </row>
    <row r="325">
      <c r="L325" s="12"/>
    </row>
    <row r="326">
      <c r="L326" s="12"/>
    </row>
    <row r="327">
      <c r="L327" s="12"/>
    </row>
    <row r="328">
      <c r="L328" s="12"/>
    </row>
    <row r="329">
      <c r="L329" s="12"/>
    </row>
    <row r="330">
      <c r="L330" s="12"/>
    </row>
    <row r="331">
      <c r="L331" s="12"/>
    </row>
    <row r="332">
      <c r="L332" s="12"/>
    </row>
    <row r="333">
      <c r="L333" s="12"/>
    </row>
    <row r="334">
      <c r="L334" s="12"/>
    </row>
    <row r="335">
      <c r="L335" s="12"/>
    </row>
    <row r="336">
      <c r="L336" s="12"/>
    </row>
    <row r="337">
      <c r="L337" s="12"/>
    </row>
    <row r="338">
      <c r="L338" s="12"/>
    </row>
    <row r="339">
      <c r="L339" s="12"/>
    </row>
    <row r="340">
      <c r="L340" s="12"/>
    </row>
    <row r="341">
      <c r="L341" s="12"/>
    </row>
    <row r="342">
      <c r="L342" s="12"/>
    </row>
    <row r="343">
      <c r="L343" s="12"/>
    </row>
    <row r="344">
      <c r="L344" s="12"/>
    </row>
    <row r="345">
      <c r="L345" s="12"/>
    </row>
    <row r="346">
      <c r="L346" s="12"/>
    </row>
    <row r="347">
      <c r="L347" s="12"/>
    </row>
    <row r="348">
      <c r="L348" s="12"/>
    </row>
    <row r="349">
      <c r="L349" s="12"/>
    </row>
    <row r="350">
      <c r="L350" s="12"/>
    </row>
    <row r="351">
      <c r="L351" s="12"/>
    </row>
    <row r="352">
      <c r="L352" s="12"/>
    </row>
    <row r="353">
      <c r="L353" s="12"/>
    </row>
    <row r="354">
      <c r="L354" s="12"/>
    </row>
    <row r="355">
      <c r="L355" s="12"/>
    </row>
    <row r="356">
      <c r="L356" s="12"/>
    </row>
    <row r="357">
      <c r="L357" s="12"/>
    </row>
    <row r="358">
      <c r="L358" s="12"/>
    </row>
    <row r="359">
      <c r="L359" s="12"/>
    </row>
    <row r="360">
      <c r="L360" s="12"/>
    </row>
    <row r="361">
      <c r="L361" s="12"/>
    </row>
    <row r="362">
      <c r="L362" s="12"/>
    </row>
    <row r="363">
      <c r="L363" s="12"/>
    </row>
    <row r="364">
      <c r="L364" s="12"/>
    </row>
    <row r="365">
      <c r="L365" s="12"/>
    </row>
    <row r="366">
      <c r="L366" s="12"/>
    </row>
    <row r="367">
      <c r="L367" s="12"/>
    </row>
    <row r="368">
      <c r="L368" s="12"/>
    </row>
    <row r="369">
      <c r="L369" s="12"/>
    </row>
    <row r="370">
      <c r="L370" s="12"/>
    </row>
    <row r="371">
      <c r="L371" s="12"/>
    </row>
    <row r="372">
      <c r="L372" s="12"/>
    </row>
    <row r="373">
      <c r="L373" s="12"/>
    </row>
    <row r="374">
      <c r="L374" s="12"/>
    </row>
    <row r="375">
      <c r="L375" s="12"/>
    </row>
    <row r="376">
      <c r="L376" s="12"/>
    </row>
    <row r="377">
      <c r="L377" s="12"/>
    </row>
    <row r="378">
      <c r="L378" s="12"/>
    </row>
    <row r="379">
      <c r="L379" s="12"/>
    </row>
    <row r="380">
      <c r="L380" s="12"/>
    </row>
    <row r="381">
      <c r="L381" s="12"/>
    </row>
    <row r="382">
      <c r="L382" s="12"/>
    </row>
    <row r="383">
      <c r="L383" s="12"/>
    </row>
    <row r="384">
      <c r="L384" s="12"/>
    </row>
    <row r="385">
      <c r="L385" s="12"/>
    </row>
    <row r="386">
      <c r="L386" s="12"/>
    </row>
    <row r="387">
      <c r="L387" s="12"/>
    </row>
    <row r="388">
      <c r="L388" s="12"/>
    </row>
    <row r="389">
      <c r="L389" s="12"/>
    </row>
    <row r="390">
      <c r="L390" s="12"/>
    </row>
    <row r="391">
      <c r="L391" s="12"/>
    </row>
    <row r="392">
      <c r="L392" s="12"/>
    </row>
    <row r="393">
      <c r="L393" s="12"/>
    </row>
    <row r="394">
      <c r="L394" s="12"/>
    </row>
    <row r="395">
      <c r="L395" s="12"/>
    </row>
    <row r="396">
      <c r="L396" s="12"/>
    </row>
    <row r="397">
      <c r="L397" s="12"/>
    </row>
    <row r="398">
      <c r="L398" s="12"/>
    </row>
    <row r="399">
      <c r="L399" s="12"/>
    </row>
    <row r="400">
      <c r="L400" s="12"/>
    </row>
    <row r="401">
      <c r="L401" s="12"/>
    </row>
    <row r="402">
      <c r="L402" s="12"/>
    </row>
    <row r="403">
      <c r="L403" s="12"/>
    </row>
    <row r="404">
      <c r="L404" s="12"/>
    </row>
    <row r="405">
      <c r="L405" s="12"/>
    </row>
    <row r="406">
      <c r="L406" s="12"/>
    </row>
    <row r="407">
      <c r="L407" s="12"/>
    </row>
    <row r="408">
      <c r="L408" s="12"/>
    </row>
    <row r="409">
      <c r="L409" s="12"/>
    </row>
    <row r="410">
      <c r="L410" s="12"/>
    </row>
    <row r="411">
      <c r="L411" s="12"/>
    </row>
    <row r="412">
      <c r="L412" s="12"/>
    </row>
    <row r="413">
      <c r="L413" s="12"/>
    </row>
    <row r="414">
      <c r="L414" s="12"/>
    </row>
    <row r="415">
      <c r="L415" s="12"/>
    </row>
    <row r="416">
      <c r="L416" s="12"/>
    </row>
    <row r="417">
      <c r="L417" s="12"/>
    </row>
    <row r="418">
      <c r="L418" s="12"/>
    </row>
    <row r="419">
      <c r="L419" s="12"/>
    </row>
    <row r="420">
      <c r="L420" s="12"/>
    </row>
    <row r="421">
      <c r="L421" s="12"/>
    </row>
    <row r="422">
      <c r="L422" s="12"/>
    </row>
    <row r="423">
      <c r="L423" s="12"/>
    </row>
    <row r="424">
      <c r="L424" s="12"/>
    </row>
    <row r="425">
      <c r="L425" s="12"/>
    </row>
    <row r="426">
      <c r="L426" s="12"/>
    </row>
    <row r="427">
      <c r="L427" s="12"/>
    </row>
    <row r="428">
      <c r="L428" s="12"/>
    </row>
    <row r="429">
      <c r="L429" s="12"/>
    </row>
    <row r="430">
      <c r="L430" s="12"/>
    </row>
    <row r="431">
      <c r="L431" s="12"/>
    </row>
    <row r="432">
      <c r="L432" s="12"/>
    </row>
    <row r="433">
      <c r="L433" s="12"/>
    </row>
    <row r="434">
      <c r="L434" s="12"/>
    </row>
    <row r="435">
      <c r="L435" s="12"/>
    </row>
    <row r="436">
      <c r="L436" s="12"/>
    </row>
    <row r="437">
      <c r="L437" s="12"/>
    </row>
    <row r="438">
      <c r="L438" s="12"/>
    </row>
    <row r="439">
      <c r="L439" s="12"/>
    </row>
    <row r="440">
      <c r="L440" s="12"/>
    </row>
    <row r="441">
      <c r="L441" s="12"/>
    </row>
    <row r="442">
      <c r="L442" s="12"/>
    </row>
    <row r="443">
      <c r="L443" s="12"/>
    </row>
    <row r="444">
      <c r="L444" s="12"/>
    </row>
    <row r="445">
      <c r="L445" s="12"/>
    </row>
    <row r="446">
      <c r="L446" s="12"/>
    </row>
    <row r="447">
      <c r="L447" s="12"/>
    </row>
    <row r="448">
      <c r="L448" s="12"/>
    </row>
    <row r="449">
      <c r="L449" s="12"/>
    </row>
    <row r="450">
      <c r="L450" s="12"/>
    </row>
    <row r="451">
      <c r="L451" s="12"/>
    </row>
    <row r="452">
      <c r="L452" s="12"/>
    </row>
    <row r="453">
      <c r="L453" s="12"/>
    </row>
    <row r="454">
      <c r="L454" s="12"/>
    </row>
    <row r="455">
      <c r="L455" s="12"/>
    </row>
    <row r="456">
      <c r="L456" s="12"/>
    </row>
    <row r="457">
      <c r="L457" s="12"/>
    </row>
    <row r="458">
      <c r="L458" s="12"/>
    </row>
    <row r="459">
      <c r="L459" s="12"/>
    </row>
    <row r="460">
      <c r="L460" s="12"/>
    </row>
    <row r="461">
      <c r="L461" s="12"/>
    </row>
    <row r="462">
      <c r="L462" s="12"/>
    </row>
    <row r="463">
      <c r="L463" s="12"/>
    </row>
    <row r="464">
      <c r="L464" s="12"/>
    </row>
    <row r="465">
      <c r="L465" s="12"/>
    </row>
    <row r="466">
      <c r="L466" s="12"/>
    </row>
    <row r="467">
      <c r="L467" s="12"/>
    </row>
    <row r="468">
      <c r="L468" s="12"/>
    </row>
    <row r="469">
      <c r="L469" s="12"/>
    </row>
    <row r="470">
      <c r="L470" s="12"/>
    </row>
    <row r="471">
      <c r="L471" s="12"/>
    </row>
    <row r="472">
      <c r="L472" s="12"/>
    </row>
    <row r="473">
      <c r="L473" s="12"/>
    </row>
    <row r="474">
      <c r="L474" s="12"/>
    </row>
    <row r="475">
      <c r="L475" s="12"/>
    </row>
    <row r="476">
      <c r="L476" s="12"/>
    </row>
    <row r="477">
      <c r="L477" s="12"/>
    </row>
    <row r="478">
      <c r="L478" s="12"/>
    </row>
    <row r="479">
      <c r="L479" s="12"/>
    </row>
    <row r="480">
      <c r="L480" s="12"/>
    </row>
    <row r="481">
      <c r="L481" s="12"/>
    </row>
    <row r="482">
      <c r="L482" s="12"/>
    </row>
    <row r="483">
      <c r="L483" s="12"/>
    </row>
    <row r="484">
      <c r="L484" s="12"/>
    </row>
    <row r="485">
      <c r="L485" s="12"/>
    </row>
    <row r="486">
      <c r="L486" s="12"/>
    </row>
    <row r="487">
      <c r="L487" s="12"/>
    </row>
    <row r="488">
      <c r="L488" s="12"/>
    </row>
    <row r="489">
      <c r="L489" s="12"/>
    </row>
    <row r="490">
      <c r="L490" s="12"/>
    </row>
    <row r="491">
      <c r="L491" s="12"/>
    </row>
    <row r="492">
      <c r="L492" s="12"/>
    </row>
    <row r="493">
      <c r="L493" s="12"/>
    </row>
    <row r="494">
      <c r="L494" s="12"/>
    </row>
    <row r="495">
      <c r="L495" s="12"/>
    </row>
    <row r="496">
      <c r="L496" s="12"/>
    </row>
    <row r="497">
      <c r="L497" s="12"/>
    </row>
    <row r="498">
      <c r="L498" s="12"/>
    </row>
    <row r="499">
      <c r="L499" s="12"/>
    </row>
    <row r="500">
      <c r="L500" s="12"/>
    </row>
    <row r="501">
      <c r="L501" s="12"/>
    </row>
    <row r="502">
      <c r="L502" s="12"/>
    </row>
    <row r="503">
      <c r="L503" s="12"/>
    </row>
    <row r="504">
      <c r="L504" s="12"/>
    </row>
    <row r="505">
      <c r="L505" s="12"/>
    </row>
    <row r="506">
      <c r="L506" s="12"/>
    </row>
    <row r="507">
      <c r="L507" s="12"/>
    </row>
    <row r="508">
      <c r="L508" s="12"/>
    </row>
    <row r="509">
      <c r="L509" s="12"/>
    </row>
    <row r="510">
      <c r="L510" s="12"/>
    </row>
    <row r="511">
      <c r="L511" s="12"/>
    </row>
    <row r="512">
      <c r="L512" s="12"/>
    </row>
    <row r="513">
      <c r="L513" s="12"/>
    </row>
    <row r="514">
      <c r="L514" s="12"/>
    </row>
    <row r="515">
      <c r="L515" s="12"/>
    </row>
    <row r="516">
      <c r="L516" s="12"/>
    </row>
    <row r="517">
      <c r="L517" s="12"/>
    </row>
    <row r="518">
      <c r="L518" s="12"/>
    </row>
    <row r="519">
      <c r="L519" s="12"/>
    </row>
    <row r="520">
      <c r="L520" s="12"/>
    </row>
    <row r="521">
      <c r="L521" s="12"/>
    </row>
    <row r="522">
      <c r="L522" s="12"/>
    </row>
    <row r="523">
      <c r="L523" s="12"/>
    </row>
    <row r="524">
      <c r="L524" s="12"/>
    </row>
    <row r="525">
      <c r="L525" s="12"/>
    </row>
    <row r="526">
      <c r="L526" s="12"/>
    </row>
    <row r="527">
      <c r="L527" s="12"/>
    </row>
    <row r="528">
      <c r="L528" s="12"/>
    </row>
    <row r="529">
      <c r="L529" s="12"/>
    </row>
    <row r="530">
      <c r="L530" s="12"/>
    </row>
    <row r="531">
      <c r="L531" s="12"/>
    </row>
    <row r="532">
      <c r="L532" s="12"/>
    </row>
    <row r="533">
      <c r="L533" s="12"/>
    </row>
    <row r="534">
      <c r="L534" s="12"/>
    </row>
    <row r="535">
      <c r="L535" s="12"/>
    </row>
    <row r="536">
      <c r="L536" s="12"/>
    </row>
    <row r="537">
      <c r="L537" s="12"/>
    </row>
    <row r="538">
      <c r="L538" s="12"/>
    </row>
    <row r="539">
      <c r="L539" s="12"/>
    </row>
    <row r="540">
      <c r="L540" s="12"/>
    </row>
    <row r="541">
      <c r="L541" s="12"/>
    </row>
    <row r="542">
      <c r="L542" s="12"/>
    </row>
    <row r="543">
      <c r="L543" s="12"/>
    </row>
    <row r="544">
      <c r="L544" s="12"/>
    </row>
    <row r="545">
      <c r="L545" s="12"/>
    </row>
    <row r="546">
      <c r="L546" s="12"/>
    </row>
    <row r="547">
      <c r="L547" s="12"/>
    </row>
    <row r="548">
      <c r="L548" s="12"/>
    </row>
    <row r="549">
      <c r="L549" s="12"/>
    </row>
    <row r="550">
      <c r="L550" s="12"/>
    </row>
    <row r="551">
      <c r="L551" s="12"/>
    </row>
    <row r="552">
      <c r="L552" s="12"/>
    </row>
    <row r="553">
      <c r="L553" s="12"/>
    </row>
    <row r="554">
      <c r="L554" s="12"/>
    </row>
    <row r="555">
      <c r="L555" s="12"/>
    </row>
    <row r="556">
      <c r="L556" s="12"/>
    </row>
    <row r="557">
      <c r="L557" s="12"/>
    </row>
    <row r="558">
      <c r="L558" s="12"/>
    </row>
    <row r="559">
      <c r="L559" s="12"/>
    </row>
    <row r="560">
      <c r="L560" s="12"/>
    </row>
    <row r="561">
      <c r="L561" s="12"/>
    </row>
    <row r="562">
      <c r="L562" s="12"/>
    </row>
    <row r="563">
      <c r="L563" s="12"/>
    </row>
    <row r="564">
      <c r="L564" s="12"/>
    </row>
    <row r="565">
      <c r="L565" s="12"/>
    </row>
    <row r="566">
      <c r="L566" s="12"/>
    </row>
    <row r="567">
      <c r="L567" s="12"/>
    </row>
    <row r="568">
      <c r="L568" s="12"/>
    </row>
    <row r="569">
      <c r="L569" s="12"/>
    </row>
    <row r="570">
      <c r="L570" s="12"/>
    </row>
    <row r="571">
      <c r="L571" s="12"/>
    </row>
    <row r="572">
      <c r="L572" s="12"/>
    </row>
    <row r="573">
      <c r="L573" s="12"/>
    </row>
    <row r="574">
      <c r="L574" s="12"/>
    </row>
    <row r="575">
      <c r="L575" s="12"/>
    </row>
    <row r="576">
      <c r="L576" s="12"/>
    </row>
    <row r="577">
      <c r="L577" s="12"/>
    </row>
    <row r="578">
      <c r="L578" s="12"/>
    </row>
    <row r="579">
      <c r="L579" s="12"/>
    </row>
    <row r="580">
      <c r="L580" s="12"/>
    </row>
    <row r="581">
      <c r="L581" s="12"/>
    </row>
    <row r="582">
      <c r="L582" s="12"/>
    </row>
    <row r="583">
      <c r="L583" s="12"/>
    </row>
    <row r="584">
      <c r="L584" s="12"/>
    </row>
    <row r="585">
      <c r="L585" s="12"/>
    </row>
    <row r="586">
      <c r="L586" s="12"/>
    </row>
    <row r="587">
      <c r="L587" s="12"/>
    </row>
    <row r="588">
      <c r="L588" s="12"/>
    </row>
    <row r="589">
      <c r="L589" s="12"/>
    </row>
    <row r="590">
      <c r="L590" s="12"/>
    </row>
    <row r="591">
      <c r="L591" s="12"/>
    </row>
    <row r="592">
      <c r="L592" s="12"/>
    </row>
    <row r="593">
      <c r="L593" s="12"/>
    </row>
    <row r="594">
      <c r="L594" s="12"/>
    </row>
    <row r="595">
      <c r="L595" s="12"/>
    </row>
    <row r="596">
      <c r="L596" s="12"/>
    </row>
    <row r="597">
      <c r="L597" s="12"/>
    </row>
    <row r="598">
      <c r="L598" s="12"/>
    </row>
    <row r="599">
      <c r="L599" s="12"/>
    </row>
    <row r="600">
      <c r="L600" s="12"/>
    </row>
    <row r="601">
      <c r="L601" s="12"/>
    </row>
    <row r="602">
      <c r="L602" s="12"/>
    </row>
    <row r="603">
      <c r="L603" s="12"/>
    </row>
    <row r="604">
      <c r="L604" s="12"/>
    </row>
    <row r="605">
      <c r="L605" s="12"/>
    </row>
    <row r="606">
      <c r="L606" s="12"/>
    </row>
    <row r="607">
      <c r="L607" s="12"/>
    </row>
    <row r="608">
      <c r="L608" s="12"/>
    </row>
    <row r="609">
      <c r="L609" s="12"/>
    </row>
    <row r="610">
      <c r="L610" s="12"/>
    </row>
    <row r="611">
      <c r="L611" s="12"/>
    </row>
    <row r="612">
      <c r="L612" s="12"/>
    </row>
    <row r="613">
      <c r="L613" s="12"/>
    </row>
    <row r="614">
      <c r="L614" s="12"/>
    </row>
    <row r="615">
      <c r="L615" s="12"/>
    </row>
    <row r="616">
      <c r="L616" s="12"/>
    </row>
    <row r="617">
      <c r="L617" s="12"/>
    </row>
    <row r="618">
      <c r="L618" s="12"/>
    </row>
    <row r="619">
      <c r="L619" s="12"/>
    </row>
    <row r="620">
      <c r="L620" s="12"/>
    </row>
    <row r="621">
      <c r="L621" s="12"/>
    </row>
    <row r="622">
      <c r="L622" s="12"/>
    </row>
    <row r="623">
      <c r="L623" s="12"/>
    </row>
    <row r="624">
      <c r="L624" s="12"/>
    </row>
    <row r="625">
      <c r="L625" s="12"/>
    </row>
    <row r="626">
      <c r="L626" s="12"/>
    </row>
    <row r="627">
      <c r="L627" s="12"/>
    </row>
    <row r="628">
      <c r="L628" s="12"/>
    </row>
    <row r="629">
      <c r="L629" s="12"/>
    </row>
    <row r="630">
      <c r="L630" s="12"/>
    </row>
    <row r="631">
      <c r="L631" s="12"/>
    </row>
    <row r="632">
      <c r="L632" s="12"/>
    </row>
    <row r="633">
      <c r="L633" s="12"/>
    </row>
    <row r="634">
      <c r="L634" s="12"/>
    </row>
    <row r="635">
      <c r="L635" s="12"/>
    </row>
    <row r="636">
      <c r="L636" s="12"/>
    </row>
    <row r="637">
      <c r="L637" s="12"/>
    </row>
    <row r="638">
      <c r="L638" s="12"/>
    </row>
    <row r="639">
      <c r="L639" s="12"/>
    </row>
    <row r="640">
      <c r="L640" s="12"/>
    </row>
    <row r="641">
      <c r="L641" s="12"/>
    </row>
    <row r="642">
      <c r="L642" s="12"/>
    </row>
    <row r="643">
      <c r="L643" s="12"/>
    </row>
    <row r="644">
      <c r="L644" s="12"/>
    </row>
    <row r="645">
      <c r="L645" s="12"/>
    </row>
    <row r="646">
      <c r="L646" s="12"/>
    </row>
    <row r="647">
      <c r="L647" s="12"/>
    </row>
    <row r="648">
      <c r="L648" s="12"/>
    </row>
    <row r="649">
      <c r="L649" s="12"/>
    </row>
    <row r="650">
      <c r="L650" s="12"/>
    </row>
    <row r="651">
      <c r="L651" s="12"/>
    </row>
    <row r="652">
      <c r="L652" s="12"/>
    </row>
    <row r="653">
      <c r="L653" s="12"/>
    </row>
    <row r="654">
      <c r="L654" s="12"/>
    </row>
    <row r="655">
      <c r="L655" s="12"/>
    </row>
    <row r="656">
      <c r="L656" s="12"/>
    </row>
    <row r="657">
      <c r="L657" s="12"/>
    </row>
    <row r="658">
      <c r="L658" s="12"/>
    </row>
    <row r="659">
      <c r="L659" s="12"/>
    </row>
    <row r="660">
      <c r="L660" s="12"/>
    </row>
    <row r="661">
      <c r="L661" s="12"/>
    </row>
    <row r="662">
      <c r="L662" s="12"/>
    </row>
    <row r="663">
      <c r="L663" s="12"/>
    </row>
    <row r="664">
      <c r="L664" s="12"/>
    </row>
    <row r="665">
      <c r="L665" s="12"/>
    </row>
    <row r="666">
      <c r="L666" s="12"/>
    </row>
    <row r="667">
      <c r="L667" s="12"/>
    </row>
    <row r="668">
      <c r="L668" s="12"/>
    </row>
    <row r="669">
      <c r="L669" s="12"/>
    </row>
    <row r="670">
      <c r="L670" s="12"/>
    </row>
    <row r="671">
      <c r="L671" s="12"/>
    </row>
    <row r="672">
      <c r="L672" s="12"/>
    </row>
    <row r="673">
      <c r="L673" s="12"/>
    </row>
    <row r="674">
      <c r="L674" s="12"/>
    </row>
    <row r="675">
      <c r="L675" s="12"/>
    </row>
    <row r="676">
      <c r="L676" s="12"/>
    </row>
    <row r="677">
      <c r="L677" s="12"/>
    </row>
    <row r="678">
      <c r="L678" s="12"/>
    </row>
    <row r="679">
      <c r="L679" s="12"/>
    </row>
    <row r="680">
      <c r="L680" s="12"/>
    </row>
    <row r="681">
      <c r="L681" s="12"/>
    </row>
    <row r="682">
      <c r="L682" s="12"/>
    </row>
    <row r="683">
      <c r="L683" s="12"/>
    </row>
    <row r="684">
      <c r="L684" s="12"/>
    </row>
    <row r="685">
      <c r="L685" s="12"/>
    </row>
    <row r="686">
      <c r="L686" s="12"/>
    </row>
    <row r="687">
      <c r="L687" s="12"/>
    </row>
    <row r="688">
      <c r="L688" s="12"/>
    </row>
    <row r="689">
      <c r="L689" s="12"/>
    </row>
    <row r="690">
      <c r="L690" s="12"/>
    </row>
    <row r="691">
      <c r="L691" s="12"/>
    </row>
    <row r="692">
      <c r="L692" s="12"/>
    </row>
    <row r="693">
      <c r="L693" s="12"/>
    </row>
    <row r="694">
      <c r="L694" s="12"/>
    </row>
    <row r="695">
      <c r="L695" s="12"/>
    </row>
    <row r="696">
      <c r="L696" s="12"/>
    </row>
    <row r="697">
      <c r="L697" s="12"/>
    </row>
    <row r="698">
      <c r="L698" s="12"/>
    </row>
    <row r="699">
      <c r="L699" s="12"/>
    </row>
    <row r="700">
      <c r="L700" s="12"/>
    </row>
    <row r="701">
      <c r="L701" s="12"/>
    </row>
    <row r="702">
      <c r="L702" s="12"/>
    </row>
    <row r="703">
      <c r="L703" s="12"/>
    </row>
    <row r="704">
      <c r="L704" s="12"/>
    </row>
    <row r="705">
      <c r="L705" s="12"/>
    </row>
    <row r="706">
      <c r="L706" s="12"/>
    </row>
    <row r="707">
      <c r="L707" s="12"/>
    </row>
    <row r="708">
      <c r="L708" s="12"/>
    </row>
    <row r="709">
      <c r="L709" s="12"/>
    </row>
    <row r="710">
      <c r="L710" s="12"/>
    </row>
    <row r="711">
      <c r="L711" s="12"/>
    </row>
    <row r="712">
      <c r="L712" s="12"/>
    </row>
    <row r="713">
      <c r="L713" s="12"/>
    </row>
    <row r="714">
      <c r="L714" s="12"/>
    </row>
    <row r="715">
      <c r="L715" s="12"/>
    </row>
    <row r="716">
      <c r="L716" s="12"/>
    </row>
    <row r="717">
      <c r="L717" s="12"/>
    </row>
    <row r="718">
      <c r="L718" s="12"/>
    </row>
    <row r="719">
      <c r="L719" s="12"/>
    </row>
    <row r="720">
      <c r="L720" s="12"/>
    </row>
    <row r="721">
      <c r="L721" s="12"/>
    </row>
    <row r="722">
      <c r="L722" s="12"/>
    </row>
    <row r="723">
      <c r="L723" s="12"/>
    </row>
    <row r="724">
      <c r="L724" s="12"/>
    </row>
    <row r="725">
      <c r="L725" s="12"/>
    </row>
    <row r="726">
      <c r="L726" s="12"/>
    </row>
    <row r="727">
      <c r="L727" s="12"/>
    </row>
    <row r="728">
      <c r="L728" s="12"/>
    </row>
    <row r="729">
      <c r="L729" s="12"/>
    </row>
    <row r="730">
      <c r="L730" s="12"/>
    </row>
    <row r="731">
      <c r="L731" s="12"/>
    </row>
    <row r="732">
      <c r="L732" s="12"/>
    </row>
    <row r="733">
      <c r="L733" s="12"/>
    </row>
    <row r="734">
      <c r="L734" s="12"/>
    </row>
    <row r="735">
      <c r="L735" s="12"/>
    </row>
    <row r="736">
      <c r="L736" s="12"/>
    </row>
    <row r="737">
      <c r="L737" s="12"/>
    </row>
    <row r="738">
      <c r="L738" s="12"/>
    </row>
    <row r="739">
      <c r="L739" s="12"/>
    </row>
    <row r="740">
      <c r="L740" s="12"/>
    </row>
    <row r="741">
      <c r="L741" s="12"/>
    </row>
    <row r="742">
      <c r="L742" s="12"/>
    </row>
    <row r="743">
      <c r="L743" s="12"/>
    </row>
    <row r="744">
      <c r="L744" s="12"/>
    </row>
    <row r="745">
      <c r="L745" s="12"/>
    </row>
    <row r="746">
      <c r="L746" s="12"/>
    </row>
    <row r="747">
      <c r="L747" s="12"/>
    </row>
    <row r="748">
      <c r="L748" s="12"/>
    </row>
    <row r="749">
      <c r="L749" s="12"/>
    </row>
    <row r="750">
      <c r="L750" s="12"/>
    </row>
    <row r="751">
      <c r="L751" s="12"/>
    </row>
    <row r="752">
      <c r="L752" s="12"/>
    </row>
    <row r="753">
      <c r="L753" s="12"/>
    </row>
    <row r="754">
      <c r="L754" s="12"/>
    </row>
    <row r="755">
      <c r="L755" s="12"/>
    </row>
    <row r="756">
      <c r="L756" s="12"/>
    </row>
    <row r="757">
      <c r="L757" s="12"/>
    </row>
    <row r="758">
      <c r="L758" s="12"/>
    </row>
    <row r="759">
      <c r="L759" s="12"/>
    </row>
    <row r="760">
      <c r="L760" s="12"/>
    </row>
    <row r="761">
      <c r="L761" s="12"/>
    </row>
    <row r="762">
      <c r="L762" s="12"/>
    </row>
    <row r="763">
      <c r="L763" s="12"/>
    </row>
    <row r="764">
      <c r="L764" s="12"/>
    </row>
    <row r="765">
      <c r="L765" s="12"/>
    </row>
    <row r="766">
      <c r="L766" s="12"/>
    </row>
    <row r="767">
      <c r="L767" s="12"/>
    </row>
    <row r="768">
      <c r="L768" s="12"/>
    </row>
    <row r="769">
      <c r="L769" s="12"/>
    </row>
    <row r="770">
      <c r="L770" s="12"/>
    </row>
    <row r="771">
      <c r="L771" s="12"/>
    </row>
    <row r="772">
      <c r="L772" s="12"/>
    </row>
    <row r="773">
      <c r="L773" s="12"/>
    </row>
    <row r="774">
      <c r="L774" s="12"/>
    </row>
    <row r="775">
      <c r="L775" s="12"/>
    </row>
    <row r="776">
      <c r="L776" s="12"/>
    </row>
    <row r="777">
      <c r="L777" s="12"/>
    </row>
    <row r="778">
      <c r="L778" s="12"/>
    </row>
    <row r="779">
      <c r="L779" s="12"/>
    </row>
    <row r="780">
      <c r="L780" s="12"/>
    </row>
    <row r="781">
      <c r="L781" s="12"/>
    </row>
    <row r="782">
      <c r="L782" s="12"/>
    </row>
    <row r="783">
      <c r="L783" s="12"/>
    </row>
    <row r="784">
      <c r="L784" s="12"/>
    </row>
    <row r="785">
      <c r="L785" s="12"/>
    </row>
    <row r="786">
      <c r="L786" s="12"/>
    </row>
    <row r="787">
      <c r="L787" s="12"/>
    </row>
    <row r="788">
      <c r="L788" s="12"/>
    </row>
    <row r="789">
      <c r="L789" s="12"/>
    </row>
    <row r="790">
      <c r="L790" s="12"/>
    </row>
    <row r="791">
      <c r="L791" s="12"/>
    </row>
    <row r="792">
      <c r="L792" s="12"/>
    </row>
    <row r="793">
      <c r="L793" s="12"/>
    </row>
    <row r="794">
      <c r="L794" s="12"/>
    </row>
    <row r="795">
      <c r="L795" s="12"/>
    </row>
    <row r="796">
      <c r="L796" s="12"/>
    </row>
    <row r="797">
      <c r="L797" s="12"/>
    </row>
    <row r="798">
      <c r="L798" s="12"/>
    </row>
    <row r="799">
      <c r="L799" s="12"/>
    </row>
    <row r="800">
      <c r="L800" s="12"/>
    </row>
    <row r="801">
      <c r="L801" s="12"/>
    </row>
    <row r="802">
      <c r="L802" s="12"/>
    </row>
    <row r="803">
      <c r="L803" s="12"/>
    </row>
    <row r="804">
      <c r="L804" s="12"/>
    </row>
    <row r="805">
      <c r="L805" s="12"/>
    </row>
    <row r="806">
      <c r="L806" s="12"/>
    </row>
    <row r="807">
      <c r="L807" s="12"/>
    </row>
    <row r="808">
      <c r="L808" s="12"/>
    </row>
    <row r="809">
      <c r="L809" s="12"/>
    </row>
    <row r="810">
      <c r="L810" s="12"/>
    </row>
    <row r="811">
      <c r="L811" s="12"/>
    </row>
    <row r="812">
      <c r="L812" s="12"/>
    </row>
    <row r="813">
      <c r="L813" s="12"/>
    </row>
    <row r="814">
      <c r="L814" s="12"/>
    </row>
    <row r="815">
      <c r="L815" s="12"/>
    </row>
    <row r="816">
      <c r="L816" s="12"/>
    </row>
    <row r="817">
      <c r="L817" s="12"/>
    </row>
    <row r="818">
      <c r="L818" s="12"/>
    </row>
    <row r="819">
      <c r="L819" s="12"/>
    </row>
    <row r="820">
      <c r="L820" s="12"/>
    </row>
    <row r="821">
      <c r="L821" s="12"/>
    </row>
    <row r="822">
      <c r="L822" s="12"/>
    </row>
    <row r="823">
      <c r="L823" s="12"/>
    </row>
    <row r="824">
      <c r="L824" s="12"/>
    </row>
    <row r="825">
      <c r="L825" s="12"/>
    </row>
    <row r="826">
      <c r="L826" s="12"/>
    </row>
    <row r="827">
      <c r="L827" s="12"/>
    </row>
    <row r="828">
      <c r="L828" s="12"/>
    </row>
    <row r="829">
      <c r="L829" s="12"/>
    </row>
    <row r="830">
      <c r="L830" s="12"/>
    </row>
    <row r="831">
      <c r="L831" s="12"/>
    </row>
    <row r="832">
      <c r="L832" s="12"/>
    </row>
    <row r="833">
      <c r="L833" s="12"/>
    </row>
    <row r="834">
      <c r="L834" s="12"/>
    </row>
    <row r="835">
      <c r="L835" s="12"/>
    </row>
    <row r="836">
      <c r="L836" s="12"/>
    </row>
    <row r="837">
      <c r="L837" s="12"/>
    </row>
    <row r="838">
      <c r="L838" s="12"/>
    </row>
    <row r="839">
      <c r="L839" s="12"/>
    </row>
    <row r="840">
      <c r="L840" s="12"/>
    </row>
    <row r="841">
      <c r="L841" s="12"/>
    </row>
    <row r="842">
      <c r="L842" s="12"/>
    </row>
    <row r="843">
      <c r="L843" s="12"/>
    </row>
    <row r="844">
      <c r="L844" s="12"/>
    </row>
    <row r="845">
      <c r="L845" s="12"/>
    </row>
    <row r="846">
      <c r="L846" s="12"/>
    </row>
    <row r="847">
      <c r="L847" s="12"/>
    </row>
    <row r="848">
      <c r="L848" s="12"/>
    </row>
    <row r="849">
      <c r="L849" s="12"/>
    </row>
    <row r="850">
      <c r="L850" s="12"/>
    </row>
    <row r="851">
      <c r="L851" s="12"/>
    </row>
    <row r="852">
      <c r="L852" s="12"/>
    </row>
    <row r="853">
      <c r="L853" s="12"/>
    </row>
    <row r="854">
      <c r="L854" s="12"/>
    </row>
    <row r="855">
      <c r="L855" s="12"/>
    </row>
    <row r="856">
      <c r="L856" s="12"/>
    </row>
    <row r="857">
      <c r="L857" s="12"/>
    </row>
    <row r="858">
      <c r="L858" s="12"/>
    </row>
    <row r="859">
      <c r="L859" s="12"/>
    </row>
    <row r="860">
      <c r="L860" s="12"/>
    </row>
    <row r="861">
      <c r="L861" s="12"/>
    </row>
    <row r="862">
      <c r="L862" s="12"/>
    </row>
    <row r="863">
      <c r="L863" s="12"/>
    </row>
    <row r="864">
      <c r="L864" s="12"/>
    </row>
    <row r="865">
      <c r="L865" s="12"/>
    </row>
    <row r="866">
      <c r="L866" s="12"/>
    </row>
    <row r="867">
      <c r="L867" s="12"/>
    </row>
    <row r="868">
      <c r="L868" s="12"/>
    </row>
    <row r="869">
      <c r="L869" s="12"/>
    </row>
    <row r="870">
      <c r="L870" s="12"/>
    </row>
    <row r="871">
      <c r="L871" s="12"/>
    </row>
    <row r="872">
      <c r="L872" s="12"/>
    </row>
    <row r="873">
      <c r="L873" s="12"/>
    </row>
    <row r="874">
      <c r="L874" s="12"/>
    </row>
    <row r="875">
      <c r="L875" s="12"/>
    </row>
    <row r="876">
      <c r="L876" s="12"/>
    </row>
    <row r="877">
      <c r="L877" s="12"/>
    </row>
    <row r="878">
      <c r="L878" s="12"/>
    </row>
    <row r="879">
      <c r="L879" s="12"/>
    </row>
    <row r="880">
      <c r="L880" s="12"/>
    </row>
    <row r="881">
      <c r="L881" s="12"/>
    </row>
    <row r="882">
      <c r="L882" s="12"/>
    </row>
    <row r="883">
      <c r="L883" s="12"/>
    </row>
    <row r="884">
      <c r="L884" s="12"/>
    </row>
    <row r="885">
      <c r="L885" s="12"/>
    </row>
    <row r="886">
      <c r="L886" s="12"/>
    </row>
    <row r="887">
      <c r="L887" s="12"/>
    </row>
    <row r="888">
      <c r="L888" s="12"/>
    </row>
    <row r="889">
      <c r="L889" s="12"/>
    </row>
    <row r="890">
      <c r="L890" s="12"/>
    </row>
    <row r="891">
      <c r="L891" s="12"/>
    </row>
    <row r="892">
      <c r="L892" s="12"/>
    </row>
    <row r="893">
      <c r="L893" s="12"/>
    </row>
    <row r="894">
      <c r="L894" s="12"/>
    </row>
    <row r="895">
      <c r="L895" s="12"/>
    </row>
    <row r="896">
      <c r="L896" s="12"/>
    </row>
    <row r="897">
      <c r="L897" s="12"/>
    </row>
    <row r="898">
      <c r="L898" s="12"/>
    </row>
    <row r="899">
      <c r="L899" s="12"/>
    </row>
    <row r="900">
      <c r="L900" s="12"/>
    </row>
    <row r="901">
      <c r="L901" s="12"/>
    </row>
    <row r="902">
      <c r="L902" s="12"/>
    </row>
    <row r="903">
      <c r="L903" s="12"/>
    </row>
    <row r="904">
      <c r="L904" s="12"/>
    </row>
    <row r="905">
      <c r="L905" s="12"/>
    </row>
    <row r="906">
      <c r="L906" s="12"/>
    </row>
    <row r="907">
      <c r="L907" s="12"/>
    </row>
    <row r="908">
      <c r="L908" s="12"/>
    </row>
    <row r="909">
      <c r="L909" s="12"/>
    </row>
    <row r="910">
      <c r="L910" s="12"/>
    </row>
    <row r="911">
      <c r="L911" s="12"/>
    </row>
    <row r="912">
      <c r="L912" s="12"/>
    </row>
    <row r="913">
      <c r="L913" s="12"/>
    </row>
    <row r="914">
      <c r="L914" s="12"/>
    </row>
    <row r="915">
      <c r="L915" s="12"/>
    </row>
    <row r="916">
      <c r="L916" s="12"/>
    </row>
    <row r="917">
      <c r="L917" s="12"/>
    </row>
    <row r="918">
      <c r="L918" s="12"/>
    </row>
    <row r="919">
      <c r="L919" s="12"/>
    </row>
    <row r="920">
      <c r="L920" s="12"/>
    </row>
    <row r="921">
      <c r="L921" s="12"/>
    </row>
    <row r="922">
      <c r="L922" s="12"/>
    </row>
    <row r="923">
      <c r="L923" s="12"/>
    </row>
    <row r="924">
      <c r="L924" s="12"/>
    </row>
    <row r="925">
      <c r="L925" s="12"/>
    </row>
    <row r="926">
      <c r="L926" s="12"/>
    </row>
    <row r="927">
      <c r="L927" s="12"/>
    </row>
    <row r="928">
      <c r="L928" s="12"/>
    </row>
    <row r="929">
      <c r="L929" s="12"/>
    </row>
    <row r="930">
      <c r="L930" s="12"/>
    </row>
    <row r="931">
      <c r="L931" s="12"/>
    </row>
    <row r="932">
      <c r="L932" s="12"/>
    </row>
    <row r="933">
      <c r="L933" s="12"/>
    </row>
    <row r="934">
      <c r="L934" s="12"/>
    </row>
    <row r="935">
      <c r="L935" s="12"/>
    </row>
    <row r="936">
      <c r="L936" s="12"/>
    </row>
    <row r="937">
      <c r="L937" s="12"/>
    </row>
    <row r="938">
      <c r="L938" s="12"/>
    </row>
    <row r="939">
      <c r="L939" s="12"/>
    </row>
    <row r="940">
      <c r="L940" s="12"/>
    </row>
    <row r="941">
      <c r="L941" s="12"/>
    </row>
    <row r="942">
      <c r="L942" s="12"/>
    </row>
    <row r="943">
      <c r="L943" s="12"/>
    </row>
    <row r="944">
      <c r="L944" s="12"/>
    </row>
    <row r="945">
      <c r="L945" s="12"/>
    </row>
    <row r="946">
      <c r="L946" s="12"/>
    </row>
    <row r="947">
      <c r="L947" s="12"/>
    </row>
    <row r="948">
      <c r="L948" s="12"/>
    </row>
    <row r="949">
      <c r="L949" s="12"/>
    </row>
    <row r="950">
      <c r="L950" s="12"/>
    </row>
    <row r="951">
      <c r="L951" s="12"/>
    </row>
    <row r="952">
      <c r="L952" s="12"/>
    </row>
    <row r="953">
      <c r="L953" s="12"/>
    </row>
    <row r="954">
      <c r="L954" s="12"/>
    </row>
    <row r="955">
      <c r="L955" s="12"/>
    </row>
    <row r="956">
      <c r="L956" s="12"/>
    </row>
    <row r="957">
      <c r="L957" s="12"/>
    </row>
    <row r="958">
      <c r="L958" s="12"/>
    </row>
    <row r="959">
      <c r="L959" s="12"/>
    </row>
    <row r="960">
      <c r="L960" s="12"/>
    </row>
    <row r="961">
      <c r="L961" s="12"/>
    </row>
    <row r="962">
      <c r="L962" s="12"/>
    </row>
    <row r="963">
      <c r="L963" s="12"/>
    </row>
    <row r="964">
      <c r="L964" s="12"/>
    </row>
    <row r="965">
      <c r="L965" s="12"/>
    </row>
    <row r="966">
      <c r="L966" s="12"/>
    </row>
    <row r="967">
      <c r="L967" s="12"/>
    </row>
    <row r="968">
      <c r="L968" s="12"/>
    </row>
    <row r="969">
      <c r="L969" s="12"/>
    </row>
    <row r="970">
      <c r="L970" s="12"/>
    </row>
    <row r="971">
      <c r="L971" s="12"/>
    </row>
    <row r="972">
      <c r="L972" s="12"/>
    </row>
    <row r="973">
      <c r="L973" s="12"/>
    </row>
    <row r="974">
      <c r="L974" s="12"/>
    </row>
    <row r="975">
      <c r="L975" s="12"/>
    </row>
    <row r="976">
      <c r="L976" s="12"/>
    </row>
    <row r="977">
      <c r="L977" s="12"/>
    </row>
    <row r="978">
      <c r="L978" s="12"/>
    </row>
    <row r="979">
      <c r="L979" s="12"/>
    </row>
    <row r="980">
      <c r="L980" s="12"/>
    </row>
    <row r="981">
      <c r="L981" s="12"/>
    </row>
    <row r="982">
      <c r="L982" s="12"/>
    </row>
    <row r="983">
      <c r="L983" s="12"/>
    </row>
    <row r="984">
      <c r="L984" s="12"/>
    </row>
    <row r="985">
      <c r="L985" s="12"/>
    </row>
    <row r="986">
      <c r="L986" s="12"/>
    </row>
    <row r="987">
      <c r="L987" s="12"/>
    </row>
    <row r="988">
      <c r="L988" s="12"/>
    </row>
    <row r="989">
      <c r="L989" s="12"/>
    </row>
    <row r="990">
      <c r="L990" s="12"/>
    </row>
    <row r="991">
      <c r="L991" s="12"/>
    </row>
    <row r="992">
      <c r="L992" s="12"/>
    </row>
    <row r="993">
      <c r="L993" s="12"/>
    </row>
    <row r="994">
      <c r="L994" s="12"/>
    </row>
    <row r="995">
      <c r="L995" s="12"/>
    </row>
    <row r="996">
      <c r="L996" s="12"/>
    </row>
  </sheetData>
  <mergeCells count="35">
    <mergeCell ref="A1:M1"/>
    <mergeCell ref="A3:F3"/>
    <mergeCell ref="I3:M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30:E30"/>
    <mergeCell ref="C31:E31"/>
    <mergeCell ref="C32:E32"/>
    <mergeCell ref="I33:M33"/>
    <mergeCell ref="I62:M62"/>
    <mergeCell ref="I91:M91"/>
    <mergeCell ref="I120:M120"/>
    <mergeCell ref="C22:E22"/>
    <mergeCell ref="C23:E23"/>
    <mergeCell ref="C24:E24"/>
    <mergeCell ref="C26:E26"/>
    <mergeCell ref="C27:E27"/>
    <mergeCell ref="C28:E28"/>
    <mergeCell ref="C29:E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3.38"/>
    <col customWidth="1" min="9" max="9" width="5.63"/>
    <col customWidth="1" min="10" max="10" width="34.25"/>
  </cols>
  <sheetData>
    <row r="1">
      <c r="A1" s="1" t="s">
        <v>3</v>
      </c>
    </row>
    <row r="4">
      <c r="A4" s="4" t="s">
        <v>4</v>
      </c>
      <c r="I4" s="8" t="s">
        <v>5</v>
      </c>
      <c r="J4" s="10"/>
      <c r="K4" s="10"/>
      <c r="L4" s="10"/>
      <c r="M4" s="13"/>
    </row>
    <row r="5">
      <c r="A5" s="15" t="s">
        <v>13</v>
      </c>
      <c r="B5" s="17" t="s">
        <v>16</v>
      </c>
      <c r="C5" s="20" t="s">
        <v>19</v>
      </c>
      <c r="D5" s="10"/>
      <c r="E5" s="13"/>
      <c r="F5" s="18" t="s">
        <v>22</v>
      </c>
      <c r="I5" s="15" t="s">
        <v>13</v>
      </c>
      <c r="J5" s="17" t="s">
        <v>16</v>
      </c>
      <c r="K5" s="24" t="s">
        <v>23</v>
      </c>
      <c r="L5" s="26" t="s">
        <v>24</v>
      </c>
      <c r="M5" s="28" t="s">
        <v>27</v>
      </c>
    </row>
    <row r="6">
      <c r="A6" s="31">
        <v>1.0</v>
      </c>
      <c r="B6" s="32" t="s">
        <v>33</v>
      </c>
      <c r="C6" s="34" t="s">
        <v>37</v>
      </c>
      <c r="D6" s="10"/>
      <c r="E6" s="13"/>
      <c r="F6" s="23"/>
      <c r="I6" s="31">
        <v>1.0</v>
      </c>
      <c r="J6" s="32" t="s">
        <v>25</v>
      </c>
      <c r="K6" s="38" t="s">
        <v>44</v>
      </c>
      <c r="L6" s="41">
        <v>1.5</v>
      </c>
      <c r="M6" s="43" t="s">
        <v>46</v>
      </c>
    </row>
    <row r="7">
      <c r="A7" s="31">
        <f t="shared" ref="A7:A13" si="1">A6+1</f>
        <v>2</v>
      </c>
      <c r="B7" s="21" t="s">
        <v>49</v>
      </c>
      <c r="C7" s="47"/>
      <c r="D7" s="10"/>
      <c r="E7" s="13"/>
      <c r="F7" s="23"/>
      <c r="I7" s="31">
        <f t="shared" ref="I7:I9" si="2">I6+1</f>
        <v>2</v>
      </c>
      <c r="J7" s="32" t="s">
        <v>57</v>
      </c>
      <c r="K7" s="38" t="s">
        <v>44</v>
      </c>
      <c r="L7" s="51">
        <f>25/110</f>
        <v>0.2272727273</v>
      </c>
      <c r="M7" s="53" t="s">
        <v>62</v>
      </c>
    </row>
    <row r="8">
      <c r="A8" s="52">
        <f t="shared" si="1"/>
        <v>3</v>
      </c>
      <c r="B8" s="55" t="s">
        <v>63</v>
      </c>
      <c r="C8" s="47"/>
      <c r="D8" s="10"/>
      <c r="E8" s="13"/>
      <c r="F8" s="23"/>
      <c r="I8" s="52">
        <f t="shared" si="2"/>
        <v>3</v>
      </c>
      <c r="J8" s="55" t="s">
        <v>63</v>
      </c>
      <c r="K8" s="57"/>
      <c r="L8" s="51">
        <f>1/3</f>
        <v>0.3333333333</v>
      </c>
      <c r="M8" s="61" t="s">
        <v>68</v>
      </c>
    </row>
    <row r="9">
      <c r="A9" s="60">
        <f t="shared" si="1"/>
        <v>4</v>
      </c>
      <c r="B9" s="37" t="s">
        <v>43</v>
      </c>
      <c r="C9" s="34" t="s">
        <v>45</v>
      </c>
      <c r="D9" s="10"/>
      <c r="E9" s="13"/>
      <c r="F9" s="23"/>
      <c r="I9" s="60">
        <f t="shared" si="2"/>
        <v>4</v>
      </c>
      <c r="J9" s="63" t="s">
        <v>77</v>
      </c>
      <c r="K9" s="38" t="s">
        <v>78</v>
      </c>
      <c r="L9" s="65">
        <v>1.0</v>
      </c>
      <c r="M9" s="61" t="s">
        <v>68</v>
      </c>
    </row>
    <row r="10">
      <c r="A10" s="60">
        <f t="shared" si="1"/>
        <v>5</v>
      </c>
      <c r="B10" s="37" t="s">
        <v>48</v>
      </c>
      <c r="C10" s="34" t="s">
        <v>51</v>
      </c>
      <c r="D10" s="10"/>
      <c r="E10" s="13"/>
      <c r="F10" s="23"/>
      <c r="I10" s="66">
        <v>5.0</v>
      </c>
      <c r="J10" s="69" t="s">
        <v>83</v>
      </c>
      <c r="K10" s="70"/>
      <c r="L10" s="71">
        <v>1.0</v>
      </c>
      <c r="M10" s="61" t="s">
        <v>68</v>
      </c>
    </row>
    <row r="11">
      <c r="A11" s="60">
        <f t="shared" si="1"/>
        <v>6</v>
      </c>
      <c r="B11" s="37" t="s">
        <v>52</v>
      </c>
      <c r="C11" s="34" t="s">
        <v>87</v>
      </c>
      <c r="D11" s="10"/>
      <c r="E11" s="13"/>
      <c r="F11" s="23"/>
      <c r="I11" s="73">
        <f>I10+1</f>
        <v>6</v>
      </c>
      <c r="J11" s="74" t="s">
        <v>64</v>
      </c>
      <c r="K11" s="57"/>
      <c r="L11" s="65">
        <v>1.0</v>
      </c>
      <c r="M11" s="61" t="s">
        <v>68</v>
      </c>
    </row>
    <row r="12">
      <c r="A12" s="60">
        <f t="shared" si="1"/>
        <v>7</v>
      </c>
      <c r="B12" s="69" t="s">
        <v>83</v>
      </c>
      <c r="C12" s="47"/>
      <c r="D12" s="10"/>
      <c r="E12" s="13"/>
      <c r="F12" s="23"/>
      <c r="I12" s="78">
        <v>7.0</v>
      </c>
      <c r="J12" s="80" t="s">
        <v>71</v>
      </c>
      <c r="K12" s="57"/>
      <c r="L12" s="41">
        <v>0.5</v>
      </c>
      <c r="M12" s="61" t="s">
        <v>96</v>
      </c>
    </row>
    <row r="13">
      <c r="A13" s="73">
        <f t="shared" si="1"/>
        <v>8</v>
      </c>
      <c r="B13" s="74" t="s">
        <v>64</v>
      </c>
      <c r="C13" s="47"/>
      <c r="D13" s="10"/>
      <c r="E13" s="13"/>
      <c r="F13" s="23"/>
      <c r="I13" s="83">
        <f t="shared" ref="I13:I18" si="3">I12+1</f>
        <v>8</v>
      </c>
      <c r="J13" s="84" t="s">
        <v>75</v>
      </c>
      <c r="K13" s="57"/>
      <c r="L13" s="71">
        <v>3.0</v>
      </c>
      <c r="M13" s="43" t="s">
        <v>68</v>
      </c>
    </row>
    <row r="14">
      <c r="A14" s="78">
        <v>9.0</v>
      </c>
      <c r="B14" s="80" t="s">
        <v>71</v>
      </c>
      <c r="C14" s="47"/>
      <c r="D14" s="10"/>
      <c r="E14" s="13"/>
      <c r="F14" s="23"/>
      <c r="I14" s="83">
        <f t="shared" si="3"/>
        <v>9</v>
      </c>
      <c r="J14" s="84" t="s">
        <v>76</v>
      </c>
      <c r="K14" s="57"/>
      <c r="L14" s="41">
        <v>2.5</v>
      </c>
      <c r="M14" s="61" t="s">
        <v>96</v>
      </c>
    </row>
    <row r="15">
      <c r="A15" s="83">
        <f t="shared" ref="A15:A20" si="4">A14+1</f>
        <v>10</v>
      </c>
      <c r="B15" s="84" t="s">
        <v>75</v>
      </c>
      <c r="C15" s="47"/>
      <c r="D15" s="10"/>
      <c r="E15" s="13"/>
      <c r="F15" s="23"/>
      <c r="I15" s="83">
        <f t="shared" si="3"/>
        <v>10</v>
      </c>
      <c r="J15" s="84" t="s">
        <v>79</v>
      </c>
      <c r="K15" s="57"/>
      <c r="L15" s="71">
        <v>4.0</v>
      </c>
      <c r="M15" s="61" t="s">
        <v>68</v>
      </c>
    </row>
    <row r="16">
      <c r="A16" s="83">
        <f t="shared" si="4"/>
        <v>11</v>
      </c>
      <c r="B16" s="84" t="s">
        <v>76</v>
      </c>
      <c r="C16" s="47"/>
      <c r="D16" s="10"/>
      <c r="E16" s="13"/>
      <c r="F16" s="23"/>
      <c r="I16" s="83">
        <f t="shared" si="3"/>
        <v>11</v>
      </c>
      <c r="J16" s="84" t="s">
        <v>80</v>
      </c>
      <c r="K16" s="57"/>
      <c r="L16" s="41">
        <v>0.1</v>
      </c>
      <c r="M16" s="43" t="s">
        <v>96</v>
      </c>
    </row>
    <row r="17">
      <c r="A17" s="83">
        <f t="shared" si="4"/>
        <v>12</v>
      </c>
      <c r="B17" s="84" t="s">
        <v>79</v>
      </c>
      <c r="C17" s="47"/>
      <c r="D17" s="10"/>
      <c r="E17" s="13"/>
      <c r="F17" s="23"/>
      <c r="I17" s="83">
        <f t="shared" si="3"/>
        <v>12</v>
      </c>
      <c r="J17" s="94" t="s">
        <v>113</v>
      </c>
      <c r="K17" s="57"/>
      <c r="L17" s="71">
        <v>8.0</v>
      </c>
      <c r="M17" s="43" t="s">
        <v>68</v>
      </c>
    </row>
    <row r="18">
      <c r="A18" s="83">
        <f t="shared" si="4"/>
        <v>13</v>
      </c>
      <c r="B18" s="84" t="s">
        <v>80</v>
      </c>
      <c r="C18" s="47"/>
      <c r="D18" s="10"/>
      <c r="E18" s="13"/>
      <c r="F18" s="23"/>
      <c r="I18" s="83">
        <f t="shared" si="3"/>
        <v>13</v>
      </c>
      <c r="J18" s="94" t="s">
        <v>84</v>
      </c>
      <c r="K18" s="57"/>
      <c r="L18" s="71">
        <v>8.0</v>
      </c>
      <c r="M18" s="43" t="s">
        <v>68</v>
      </c>
    </row>
    <row r="19">
      <c r="A19" s="83">
        <f t="shared" si="4"/>
        <v>14</v>
      </c>
      <c r="B19" s="94" t="s">
        <v>113</v>
      </c>
      <c r="C19" s="47"/>
      <c r="D19" s="10"/>
      <c r="E19" s="13"/>
      <c r="F19" s="23"/>
      <c r="I19" s="83">
        <f>I17+1</f>
        <v>13</v>
      </c>
      <c r="J19" s="94" t="s">
        <v>88</v>
      </c>
      <c r="K19" s="38" t="s">
        <v>44</v>
      </c>
      <c r="L19" s="98">
        <v>1.0</v>
      </c>
      <c r="M19" s="43" t="s">
        <v>68</v>
      </c>
    </row>
    <row r="20">
      <c r="A20" s="83">
        <f t="shared" si="4"/>
        <v>15</v>
      </c>
      <c r="B20" s="94" t="s">
        <v>84</v>
      </c>
      <c r="C20" s="47"/>
      <c r="D20" s="10"/>
      <c r="E20" s="13"/>
      <c r="F20" s="23"/>
      <c r="I20" s="83">
        <f t="shared" ref="I20:I27" si="5">I19+1</f>
        <v>14</v>
      </c>
      <c r="J20" s="84" t="s">
        <v>90</v>
      </c>
      <c r="K20" s="38" t="s">
        <v>44</v>
      </c>
      <c r="L20" s="71">
        <v>1.0</v>
      </c>
      <c r="M20" s="43" t="s">
        <v>68</v>
      </c>
    </row>
    <row r="21">
      <c r="A21" s="83">
        <f>A19+1</f>
        <v>15</v>
      </c>
      <c r="B21" s="84" t="s">
        <v>122</v>
      </c>
      <c r="C21" s="47"/>
      <c r="D21" s="10"/>
      <c r="E21" s="13"/>
      <c r="F21" s="23"/>
      <c r="I21" s="83">
        <f t="shared" si="5"/>
        <v>15</v>
      </c>
      <c r="J21" s="84" t="s">
        <v>92</v>
      </c>
      <c r="K21" s="57"/>
      <c r="L21" s="71">
        <v>1.0</v>
      </c>
      <c r="M21" s="43" t="s">
        <v>68</v>
      </c>
    </row>
    <row r="22">
      <c r="A22" s="83">
        <f t="shared" ref="A22:A29" si="6">A21+1</f>
        <v>16</v>
      </c>
      <c r="B22" s="84" t="s">
        <v>90</v>
      </c>
      <c r="C22" s="47"/>
      <c r="D22" s="10"/>
      <c r="E22" s="13"/>
      <c r="F22" s="23"/>
      <c r="I22" s="83">
        <f t="shared" si="5"/>
        <v>16</v>
      </c>
      <c r="J22" s="84" t="s">
        <v>93</v>
      </c>
      <c r="K22" s="57"/>
      <c r="L22" s="71">
        <v>1.0</v>
      </c>
      <c r="M22" s="43" t="s">
        <v>68</v>
      </c>
    </row>
    <row r="23">
      <c r="A23" s="83">
        <f t="shared" si="6"/>
        <v>17</v>
      </c>
      <c r="B23" s="84" t="s">
        <v>92</v>
      </c>
      <c r="C23" s="47"/>
      <c r="D23" s="10"/>
      <c r="E23" s="13"/>
      <c r="F23" s="23"/>
      <c r="I23" s="101">
        <f t="shared" si="5"/>
        <v>17</v>
      </c>
      <c r="J23" s="102" t="s">
        <v>123</v>
      </c>
      <c r="K23" s="57"/>
      <c r="L23" s="71">
        <v>1.0</v>
      </c>
      <c r="M23" s="43" t="s">
        <v>68</v>
      </c>
    </row>
    <row r="24">
      <c r="A24" s="83">
        <f t="shared" si="6"/>
        <v>18</v>
      </c>
      <c r="B24" s="84" t="s">
        <v>93</v>
      </c>
      <c r="C24" s="47"/>
      <c r="D24" s="10"/>
      <c r="E24" s="13"/>
      <c r="F24" s="23"/>
      <c r="I24" s="101">
        <f t="shared" si="5"/>
        <v>18</v>
      </c>
      <c r="J24" s="102" t="s">
        <v>124</v>
      </c>
      <c r="K24" s="57"/>
      <c r="L24" s="71">
        <v>1.0</v>
      </c>
      <c r="M24" s="43" t="s">
        <v>68</v>
      </c>
    </row>
    <row r="25">
      <c r="A25" s="101">
        <f t="shared" si="6"/>
        <v>19</v>
      </c>
      <c r="B25" s="49" t="s">
        <v>123</v>
      </c>
      <c r="C25" s="47"/>
      <c r="D25" s="10"/>
      <c r="E25" s="13"/>
      <c r="F25" s="23"/>
      <c r="I25" s="101">
        <f t="shared" si="5"/>
        <v>19</v>
      </c>
      <c r="J25" s="102" t="s">
        <v>125</v>
      </c>
      <c r="K25" s="57"/>
      <c r="L25" s="71">
        <v>1.0</v>
      </c>
      <c r="M25" s="43" t="s">
        <v>68</v>
      </c>
    </row>
    <row r="26">
      <c r="A26" s="101">
        <f t="shared" si="6"/>
        <v>20</v>
      </c>
      <c r="B26" s="49" t="s">
        <v>124</v>
      </c>
      <c r="C26" s="47"/>
      <c r="D26" s="10"/>
      <c r="E26" s="13"/>
      <c r="F26" s="23"/>
      <c r="I26" s="101">
        <f t="shared" si="5"/>
        <v>20</v>
      </c>
      <c r="J26" s="90" t="s">
        <v>127</v>
      </c>
      <c r="K26" s="103"/>
      <c r="L26" s="65">
        <v>1.0</v>
      </c>
      <c r="M26" s="53" t="s">
        <v>68</v>
      </c>
    </row>
    <row r="27">
      <c r="A27" s="101">
        <f t="shared" si="6"/>
        <v>21</v>
      </c>
      <c r="B27" s="49" t="s">
        <v>125</v>
      </c>
      <c r="C27" s="47"/>
      <c r="D27" s="10"/>
      <c r="E27" s="13"/>
      <c r="F27" s="23"/>
      <c r="I27" s="101">
        <f t="shared" si="5"/>
        <v>21</v>
      </c>
      <c r="J27" s="90" t="s">
        <v>117</v>
      </c>
      <c r="K27" s="103"/>
      <c r="L27" s="65">
        <v>1.0</v>
      </c>
      <c r="M27" s="53" t="s">
        <v>68</v>
      </c>
    </row>
    <row r="28">
      <c r="A28" s="101">
        <f t="shared" si="6"/>
        <v>22</v>
      </c>
      <c r="B28" s="49" t="s">
        <v>127</v>
      </c>
      <c r="C28" s="47"/>
      <c r="D28" s="10"/>
      <c r="E28" s="13"/>
      <c r="F28" s="23"/>
    </row>
    <row r="29">
      <c r="A29" s="101">
        <f t="shared" si="6"/>
        <v>23</v>
      </c>
      <c r="B29" s="100" t="s">
        <v>117</v>
      </c>
      <c r="C29" s="47"/>
      <c r="D29" s="10"/>
      <c r="E29" s="13"/>
      <c r="F29" s="23"/>
      <c r="I29" s="8" t="s">
        <v>134</v>
      </c>
      <c r="J29" s="10"/>
      <c r="K29" s="10"/>
      <c r="L29" s="10"/>
      <c r="M29" s="13"/>
    </row>
    <row r="30">
      <c r="I30" s="15" t="s">
        <v>13</v>
      </c>
      <c r="J30" s="17" t="s">
        <v>16</v>
      </c>
      <c r="K30" s="24" t="s">
        <v>23</v>
      </c>
      <c r="L30" s="26" t="s">
        <v>24</v>
      </c>
      <c r="M30" s="28" t="s">
        <v>27</v>
      </c>
    </row>
    <row r="31">
      <c r="I31" s="31">
        <v>1.0</v>
      </c>
      <c r="J31" s="32" t="s">
        <v>25</v>
      </c>
      <c r="K31" s="38" t="s">
        <v>135</v>
      </c>
      <c r="L31" s="41">
        <v>1.55</v>
      </c>
      <c r="M31" s="43" t="s">
        <v>46</v>
      </c>
    </row>
    <row r="32">
      <c r="I32" s="31">
        <f t="shared" ref="I32:I34" si="7">I31+1</f>
        <v>2</v>
      </c>
      <c r="J32" s="32" t="s">
        <v>57</v>
      </c>
      <c r="K32" s="38" t="s">
        <v>135</v>
      </c>
      <c r="L32" s="51">
        <f>25/110</f>
        <v>0.2272727273</v>
      </c>
      <c r="M32" s="53" t="s">
        <v>62</v>
      </c>
    </row>
    <row r="33">
      <c r="I33" s="52">
        <f t="shared" si="7"/>
        <v>3</v>
      </c>
      <c r="J33" s="55" t="s">
        <v>63</v>
      </c>
      <c r="K33" s="57"/>
      <c r="L33" s="51">
        <f>1/3</f>
        <v>0.3333333333</v>
      </c>
      <c r="M33" s="61" t="s">
        <v>68</v>
      </c>
    </row>
    <row r="34">
      <c r="I34" s="60">
        <f t="shared" si="7"/>
        <v>4</v>
      </c>
      <c r="J34" s="63" t="s">
        <v>77</v>
      </c>
      <c r="K34" s="38" t="s">
        <v>136</v>
      </c>
      <c r="L34" s="65">
        <v>1.0</v>
      </c>
      <c r="M34" s="61" t="s">
        <v>68</v>
      </c>
    </row>
    <row r="35">
      <c r="I35" s="66">
        <v>5.0</v>
      </c>
      <c r="J35" s="69" t="s">
        <v>83</v>
      </c>
      <c r="K35" s="70"/>
      <c r="L35" s="71">
        <v>1.0</v>
      </c>
      <c r="M35" s="61" t="s">
        <v>68</v>
      </c>
    </row>
    <row r="36">
      <c r="I36" s="73">
        <f>I35+1</f>
        <v>6</v>
      </c>
      <c r="J36" s="74" t="s">
        <v>64</v>
      </c>
      <c r="K36" s="57"/>
      <c r="L36" s="65">
        <v>1.0</v>
      </c>
      <c r="M36" s="61" t="s">
        <v>68</v>
      </c>
    </row>
    <row r="37">
      <c r="I37" s="78">
        <v>7.0</v>
      </c>
      <c r="J37" s="80" t="s">
        <v>71</v>
      </c>
      <c r="K37" s="57"/>
      <c r="L37" s="41">
        <v>0.5</v>
      </c>
      <c r="M37" s="61" t="s">
        <v>96</v>
      </c>
    </row>
    <row r="38">
      <c r="I38" s="83">
        <f t="shared" ref="I38:I43" si="8">I37+1</f>
        <v>8</v>
      </c>
      <c r="J38" s="84" t="s">
        <v>75</v>
      </c>
      <c r="K38" s="57"/>
      <c r="L38" s="71">
        <v>3.0</v>
      </c>
      <c r="M38" s="43" t="s">
        <v>68</v>
      </c>
    </row>
    <row r="39">
      <c r="I39" s="83">
        <f t="shared" si="8"/>
        <v>9</v>
      </c>
      <c r="J39" s="84" t="s">
        <v>76</v>
      </c>
      <c r="K39" s="57"/>
      <c r="L39" s="41">
        <v>2.5</v>
      </c>
      <c r="M39" s="61" t="s">
        <v>96</v>
      </c>
    </row>
    <row r="40">
      <c r="I40" s="83">
        <f t="shared" si="8"/>
        <v>10</v>
      </c>
      <c r="J40" s="84" t="s">
        <v>79</v>
      </c>
      <c r="K40" s="57"/>
      <c r="L40" s="71">
        <v>4.0</v>
      </c>
      <c r="M40" s="61" t="s">
        <v>68</v>
      </c>
    </row>
    <row r="41">
      <c r="I41" s="83">
        <f t="shared" si="8"/>
        <v>11</v>
      </c>
      <c r="J41" s="84" t="s">
        <v>80</v>
      </c>
      <c r="K41" s="57"/>
      <c r="L41" s="41">
        <v>0.1</v>
      </c>
      <c r="M41" s="43" t="s">
        <v>96</v>
      </c>
    </row>
    <row r="42">
      <c r="I42" s="83">
        <f t="shared" si="8"/>
        <v>12</v>
      </c>
      <c r="J42" s="94" t="s">
        <v>113</v>
      </c>
      <c r="K42" s="57"/>
      <c r="L42" s="71">
        <v>8.0</v>
      </c>
      <c r="M42" s="43" t="s">
        <v>68</v>
      </c>
    </row>
    <row r="43">
      <c r="I43" s="83">
        <f t="shared" si="8"/>
        <v>13</v>
      </c>
      <c r="J43" s="94" t="s">
        <v>84</v>
      </c>
      <c r="K43" s="57"/>
      <c r="L43" s="71">
        <v>8.0</v>
      </c>
      <c r="M43" s="43" t="s">
        <v>68</v>
      </c>
    </row>
    <row r="44">
      <c r="I44" s="83">
        <f>I42+1</f>
        <v>13</v>
      </c>
      <c r="J44" s="94" t="s">
        <v>88</v>
      </c>
      <c r="K44" s="38" t="s">
        <v>135</v>
      </c>
      <c r="L44" s="98">
        <v>1.0</v>
      </c>
      <c r="M44" s="43" t="s">
        <v>68</v>
      </c>
    </row>
    <row r="45">
      <c r="I45" s="83">
        <f t="shared" ref="I45:I52" si="9">I44+1</f>
        <v>14</v>
      </c>
      <c r="J45" s="84" t="s">
        <v>90</v>
      </c>
      <c r="K45" s="38" t="s">
        <v>135</v>
      </c>
      <c r="L45" s="71">
        <v>1.0</v>
      </c>
      <c r="M45" s="43" t="s">
        <v>68</v>
      </c>
    </row>
    <row r="46">
      <c r="I46" s="83">
        <f t="shared" si="9"/>
        <v>15</v>
      </c>
      <c r="J46" s="84" t="s">
        <v>92</v>
      </c>
      <c r="K46" s="57"/>
      <c r="L46" s="71">
        <v>1.0</v>
      </c>
      <c r="M46" s="43" t="s">
        <v>68</v>
      </c>
    </row>
    <row r="47">
      <c r="I47" s="83">
        <f t="shared" si="9"/>
        <v>16</v>
      </c>
      <c r="J47" s="84" t="s">
        <v>93</v>
      </c>
      <c r="K47" s="57"/>
      <c r="L47" s="71">
        <v>1.0</v>
      </c>
      <c r="M47" s="43" t="s">
        <v>68</v>
      </c>
    </row>
    <row r="48">
      <c r="I48" s="101">
        <f t="shared" si="9"/>
        <v>17</v>
      </c>
      <c r="J48" s="102" t="s">
        <v>123</v>
      </c>
      <c r="K48" s="57"/>
      <c r="L48" s="71">
        <v>1.0</v>
      </c>
      <c r="M48" s="43" t="s">
        <v>68</v>
      </c>
    </row>
    <row r="49">
      <c r="I49" s="101">
        <f t="shared" si="9"/>
        <v>18</v>
      </c>
      <c r="J49" s="102" t="s">
        <v>124</v>
      </c>
      <c r="K49" s="57"/>
      <c r="L49" s="71">
        <v>1.0</v>
      </c>
      <c r="M49" s="43" t="s">
        <v>68</v>
      </c>
    </row>
    <row r="50">
      <c r="I50" s="101">
        <f t="shared" si="9"/>
        <v>19</v>
      </c>
      <c r="J50" s="102" t="s">
        <v>125</v>
      </c>
      <c r="K50" s="57"/>
      <c r="L50" s="71">
        <v>1.0</v>
      </c>
      <c r="M50" s="43" t="s">
        <v>68</v>
      </c>
    </row>
    <row r="51">
      <c r="I51" s="101">
        <f t="shared" si="9"/>
        <v>20</v>
      </c>
      <c r="J51" s="90" t="s">
        <v>127</v>
      </c>
      <c r="K51" s="103"/>
      <c r="L51" s="65">
        <v>1.0</v>
      </c>
      <c r="M51" s="53" t="s">
        <v>68</v>
      </c>
    </row>
    <row r="52">
      <c r="I52" s="101">
        <f t="shared" si="9"/>
        <v>21</v>
      </c>
      <c r="J52" s="90" t="s">
        <v>117</v>
      </c>
      <c r="K52" s="103"/>
      <c r="L52" s="65">
        <v>1.0</v>
      </c>
      <c r="M52" s="53" t="s">
        <v>68</v>
      </c>
    </row>
    <row r="55">
      <c r="I55" s="8" t="s">
        <v>142</v>
      </c>
      <c r="J55" s="10"/>
      <c r="K55" s="10"/>
      <c r="L55" s="10"/>
      <c r="M55" s="13"/>
    </row>
    <row r="56">
      <c r="I56" s="15" t="s">
        <v>13</v>
      </c>
      <c r="J56" s="17" t="s">
        <v>16</v>
      </c>
      <c r="K56" s="24" t="s">
        <v>23</v>
      </c>
      <c r="L56" s="26" t="s">
        <v>24</v>
      </c>
      <c r="M56" s="28" t="s">
        <v>27</v>
      </c>
    </row>
    <row r="57">
      <c r="I57" s="31">
        <v>1.0</v>
      </c>
      <c r="J57" s="32" t="s">
        <v>25</v>
      </c>
      <c r="K57" s="38" t="s">
        <v>140</v>
      </c>
      <c r="L57" s="41">
        <v>1.65</v>
      </c>
      <c r="M57" s="43" t="s">
        <v>46</v>
      </c>
    </row>
    <row r="58">
      <c r="I58" s="31">
        <f t="shared" ref="I58:I60" si="10">I57+1</f>
        <v>2</v>
      </c>
      <c r="J58" s="32" t="s">
        <v>57</v>
      </c>
      <c r="K58" s="38" t="s">
        <v>140</v>
      </c>
      <c r="L58" s="51">
        <f>25/110</f>
        <v>0.2272727273</v>
      </c>
      <c r="M58" s="53" t="s">
        <v>62</v>
      </c>
    </row>
    <row r="59">
      <c r="I59" s="52">
        <f t="shared" si="10"/>
        <v>3</v>
      </c>
      <c r="J59" s="55" t="s">
        <v>63</v>
      </c>
      <c r="K59" s="57"/>
      <c r="L59" s="51">
        <f>1/3</f>
        <v>0.3333333333</v>
      </c>
      <c r="M59" s="61" t="s">
        <v>68</v>
      </c>
    </row>
    <row r="60">
      <c r="I60" s="60">
        <f t="shared" si="10"/>
        <v>4</v>
      </c>
      <c r="J60" s="63" t="s">
        <v>77</v>
      </c>
      <c r="K60" s="38" t="s">
        <v>136</v>
      </c>
      <c r="L60" s="65">
        <v>1.0</v>
      </c>
      <c r="M60" s="61" t="s">
        <v>68</v>
      </c>
    </row>
    <row r="61">
      <c r="I61" s="66">
        <v>5.0</v>
      </c>
      <c r="J61" s="69" t="s">
        <v>83</v>
      </c>
      <c r="K61" s="70"/>
      <c r="L61" s="71">
        <v>1.0</v>
      </c>
      <c r="M61" s="61" t="s">
        <v>68</v>
      </c>
    </row>
    <row r="62">
      <c r="I62" s="73">
        <f>I61+1</f>
        <v>6</v>
      </c>
      <c r="J62" s="74" t="s">
        <v>64</v>
      </c>
      <c r="K62" s="57"/>
      <c r="L62" s="65">
        <v>1.0</v>
      </c>
      <c r="M62" s="61" t="s">
        <v>68</v>
      </c>
    </row>
    <row r="63">
      <c r="I63" s="78">
        <v>7.0</v>
      </c>
      <c r="J63" s="80" t="s">
        <v>71</v>
      </c>
      <c r="K63" s="57"/>
      <c r="L63" s="41">
        <v>0.5</v>
      </c>
      <c r="M63" s="61" t="s">
        <v>96</v>
      </c>
    </row>
    <row r="64">
      <c r="I64" s="83">
        <f t="shared" ref="I64:I69" si="11">I63+1</f>
        <v>8</v>
      </c>
      <c r="J64" s="84" t="s">
        <v>75</v>
      </c>
      <c r="K64" s="57"/>
      <c r="L64" s="71">
        <v>3.0</v>
      </c>
      <c r="M64" s="43" t="s">
        <v>68</v>
      </c>
    </row>
    <row r="65">
      <c r="I65" s="83">
        <f t="shared" si="11"/>
        <v>9</v>
      </c>
      <c r="J65" s="84" t="s">
        <v>76</v>
      </c>
      <c r="K65" s="57"/>
      <c r="L65" s="41">
        <v>2.5</v>
      </c>
      <c r="M65" s="61" t="s">
        <v>96</v>
      </c>
    </row>
    <row r="66">
      <c r="I66" s="83">
        <f t="shared" si="11"/>
        <v>10</v>
      </c>
      <c r="J66" s="84" t="s">
        <v>79</v>
      </c>
      <c r="K66" s="57"/>
      <c r="L66" s="71">
        <v>4.0</v>
      </c>
      <c r="M66" s="61" t="s">
        <v>68</v>
      </c>
    </row>
    <row r="67">
      <c r="I67" s="83">
        <f t="shared" si="11"/>
        <v>11</v>
      </c>
      <c r="J67" s="84" t="s">
        <v>80</v>
      </c>
      <c r="K67" s="57"/>
      <c r="L67" s="41">
        <v>0.1</v>
      </c>
      <c r="M67" s="43" t="s">
        <v>96</v>
      </c>
    </row>
    <row r="68">
      <c r="I68" s="83">
        <f t="shared" si="11"/>
        <v>12</v>
      </c>
      <c r="J68" s="94" t="s">
        <v>113</v>
      </c>
      <c r="K68" s="57"/>
      <c r="L68" s="71">
        <v>8.0</v>
      </c>
      <c r="M68" s="43" t="s">
        <v>68</v>
      </c>
    </row>
    <row r="69">
      <c r="I69" s="83">
        <f t="shared" si="11"/>
        <v>13</v>
      </c>
      <c r="J69" s="94" t="s">
        <v>84</v>
      </c>
      <c r="K69" s="57"/>
      <c r="L69" s="71">
        <v>8.0</v>
      </c>
      <c r="M69" s="43" t="s">
        <v>68</v>
      </c>
    </row>
    <row r="70">
      <c r="I70" s="83">
        <f>I68+1</f>
        <v>13</v>
      </c>
      <c r="J70" s="94" t="s">
        <v>88</v>
      </c>
      <c r="K70" s="38" t="s">
        <v>140</v>
      </c>
      <c r="L70" s="98">
        <v>1.0</v>
      </c>
      <c r="M70" s="43" t="s">
        <v>68</v>
      </c>
    </row>
    <row r="71">
      <c r="I71" s="83">
        <f t="shared" ref="I71:I78" si="12">I70+1</f>
        <v>14</v>
      </c>
      <c r="J71" s="84" t="s">
        <v>90</v>
      </c>
      <c r="K71" s="38" t="s">
        <v>140</v>
      </c>
      <c r="L71" s="71">
        <v>1.0</v>
      </c>
      <c r="M71" s="43" t="s">
        <v>68</v>
      </c>
    </row>
    <row r="72">
      <c r="I72" s="83">
        <f t="shared" si="12"/>
        <v>15</v>
      </c>
      <c r="J72" s="84" t="s">
        <v>92</v>
      </c>
      <c r="K72" s="57"/>
      <c r="L72" s="71">
        <v>1.0</v>
      </c>
      <c r="M72" s="43" t="s">
        <v>68</v>
      </c>
    </row>
    <row r="73">
      <c r="I73" s="83">
        <f t="shared" si="12"/>
        <v>16</v>
      </c>
      <c r="J73" s="84" t="s">
        <v>93</v>
      </c>
      <c r="K73" s="57"/>
      <c r="L73" s="71">
        <v>1.0</v>
      </c>
      <c r="M73" s="43" t="s">
        <v>68</v>
      </c>
    </row>
    <row r="74">
      <c r="I74" s="101">
        <f t="shared" si="12"/>
        <v>17</v>
      </c>
      <c r="J74" s="102" t="s">
        <v>123</v>
      </c>
      <c r="K74" s="57"/>
      <c r="L74" s="71">
        <v>1.0</v>
      </c>
      <c r="M74" s="43" t="s">
        <v>68</v>
      </c>
    </row>
    <row r="75">
      <c r="I75" s="101">
        <f t="shared" si="12"/>
        <v>18</v>
      </c>
      <c r="J75" s="102" t="s">
        <v>124</v>
      </c>
      <c r="K75" s="57"/>
      <c r="L75" s="71">
        <v>1.0</v>
      </c>
      <c r="M75" s="43" t="s">
        <v>68</v>
      </c>
    </row>
    <row r="76">
      <c r="I76" s="101">
        <f t="shared" si="12"/>
        <v>19</v>
      </c>
      <c r="J76" s="102" t="s">
        <v>125</v>
      </c>
      <c r="K76" s="57"/>
      <c r="L76" s="71">
        <v>1.0</v>
      </c>
      <c r="M76" s="43" t="s">
        <v>68</v>
      </c>
    </row>
    <row r="77">
      <c r="I77" s="101">
        <f t="shared" si="12"/>
        <v>20</v>
      </c>
      <c r="J77" s="90" t="s">
        <v>127</v>
      </c>
      <c r="K77" s="57"/>
      <c r="L77" s="71">
        <v>1.0</v>
      </c>
      <c r="M77" s="43" t="s">
        <v>68</v>
      </c>
    </row>
    <row r="78">
      <c r="I78" s="101">
        <f t="shared" si="12"/>
        <v>21</v>
      </c>
      <c r="J78" s="90" t="s">
        <v>117</v>
      </c>
      <c r="K78" s="57"/>
      <c r="L78" s="71">
        <v>1.0</v>
      </c>
      <c r="M78" s="43" t="s">
        <v>68</v>
      </c>
    </row>
    <row r="82">
      <c r="I82" s="8" t="s">
        <v>146</v>
      </c>
      <c r="J82" s="10"/>
      <c r="K82" s="10"/>
      <c r="L82" s="10"/>
      <c r="M82" s="13"/>
    </row>
    <row r="83">
      <c r="I83" s="15" t="s">
        <v>13</v>
      </c>
      <c r="J83" s="17" t="s">
        <v>16</v>
      </c>
      <c r="K83" s="24" t="s">
        <v>23</v>
      </c>
      <c r="L83" s="26" t="s">
        <v>24</v>
      </c>
      <c r="M83" s="28" t="s">
        <v>27</v>
      </c>
    </row>
    <row r="84">
      <c r="I84" s="31">
        <v>1.0</v>
      </c>
      <c r="J84" s="32" t="s">
        <v>25</v>
      </c>
      <c r="K84" s="38" t="s">
        <v>61</v>
      </c>
      <c r="L84" s="41">
        <v>1.7</v>
      </c>
      <c r="M84" s="43" t="s">
        <v>46</v>
      </c>
    </row>
    <row r="85">
      <c r="I85" s="31">
        <f t="shared" ref="I85:I87" si="13">I84+1</f>
        <v>2</v>
      </c>
      <c r="J85" s="32" t="s">
        <v>57</v>
      </c>
      <c r="K85" s="38" t="s">
        <v>61</v>
      </c>
      <c r="L85" s="51">
        <f>25/110</f>
        <v>0.2272727273</v>
      </c>
      <c r="M85" s="53" t="s">
        <v>62</v>
      </c>
    </row>
    <row r="86">
      <c r="I86" s="52">
        <f t="shared" si="13"/>
        <v>3</v>
      </c>
      <c r="J86" s="55" t="s">
        <v>63</v>
      </c>
      <c r="K86" s="57"/>
      <c r="L86" s="51">
        <f>1/3</f>
        <v>0.3333333333</v>
      </c>
      <c r="M86" s="61" t="s">
        <v>68</v>
      </c>
    </row>
    <row r="87">
      <c r="I87" s="60">
        <f t="shared" si="13"/>
        <v>4</v>
      </c>
      <c r="J87" s="63" t="s">
        <v>77</v>
      </c>
      <c r="K87" s="38" t="s">
        <v>149</v>
      </c>
      <c r="L87" s="65">
        <v>1.0</v>
      </c>
      <c r="M87" s="61" t="s">
        <v>68</v>
      </c>
    </row>
    <row r="88">
      <c r="I88" s="66">
        <v>5.0</v>
      </c>
      <c r="J88" s="69" t="s">
        <v>83</v>
      </c>
      <c r="K88" s="70"/>
      <c r="L88" s="71">
        <v>1.0</v>
      </c>
      <c r="M88" s="61" t="s">
        <v>68</v>
      </c>
    </row>
    <row r="89">
      <c r="I89" s="73">
        <f>I88+1</f>
        <v>6</v>
      </c>
      <c r="J89" s="74" t="s">
        <v>64</v>
      </c>
      <c r="K89" s="57"/>
      <c r="L89" s="65">
        <v>1.0</v>
      </c>
      <c r="M89" s="61" t="s">
        <v>68</v>
      </c>
    </row>
    <row r="90">
      <c r="I90" s="78">
        <v>7.0</v>
      </c>
      <c r="J90" s="80" t="s">
        <v>71</v>
      </c>
      <c r="K90" s="57"/>
      <c r="L90" s="41">
        <v>0.5</v>
      </c>
      <c r="M90" s="61" t="s">
        <v>96</v>
      </c>
    </row>
    <row r="91">
      <c r="I91" s="83">
        <f t="shared" ref="I91:I96" si="14">I90+1</f>
        <v>8</v>
      </c>
      <c r="J91" s="84" t="s">
        <v>75</v>
      </c>
      <c r="K91" s="57"/>
      <c r="L91" s="71">
        <v>3.0</v>
      </c>
      <c r="M91" s="43" t="s">
        <v>68</v>
      </c>
    </row>
    <row r="92">
      <c r="I92" s="83">
        <f t="shared" si="14"/>
        <v>9</v>
      </c>
      <c r="J92" s="84" t="s">
        <v>76</v>
      </c>
      <c r="K92" s="57"/>
      <c r="L92" s="41">
        <v>2.5</v>
      </c>
      <c r="M92" s="61" t="s">
        <v>96</v>
      </c>
    </row>
    <row r="93">
      <c r="I93" s="83">
        <f t="shared" si="14"/>
        <v>10</v>
      </c>
      <c r="J93" s="84" t="s">
        <v>79</v>
      </c>
      <c r="K93" s="57"/>
      <c r="L93" s="71">
        <v>4.0</v>
      </c>
      <c r="M93" s="61" t="s">
        <v>68</v>
      </c>
    </row>
    <row r="94">
      <c r="I94" s="83">
        <f t="shared" si="14"/>
        <v>11</v>
      </c>
      <c r="J94" s="84" t="s">
        <v>80</v>
      </c>
      <c r="K94" s="57"/>
      <c r="L94" s="41">
        <v>0.1</v>
      </c>
      <c r="M94" s="43" t="s">
        <v>96</v>
      </c>
    </row>
    <row r="95">
      <c r="I95" s="83">
        <f t="shared" si="14"/>
        <v>12</v>
      </c>
      <c r="J95" s="94" t="s">
        <v>113</v>
      </c>
      <c r="K95" s="57"/>
      <c r="L95" s="71">
        <v>8.0</v>
      </c>
      <c r="M95" s="43" t="s">
        <v>68</v>
      </c>
    </row>
    <row r="96">
      <c r="I96" s="83">
        <f t="shared" si="14"/>
        <v>13</v>
      </c>
      <c r="J96" s="94" t="s">
        <v>84</v>
      </c>
      <c r="K96" s="57"/>
      <c r="L96" s="71">
        <v>8.0</v>
      </c>
      <c r="M96" s="43" t="s">
        <v>68</v>
      </c>
    </row>
    <row r="97">
      <c r="I97" s="83">
        <f>I95+1</f>
        <v>13</v>
      </c>
      <c r="J97" s="94" t="s">
        <v>88</v>
      </c>
      <c r="K97" s="38" t="s">
        <v>61</v>
      </c>
      <c r="L97" s="98">
        <v>1.0</v>
      </c>
      <c r="M97" s="43" t="s">
        <v>68</v>
      </c>
    </row>
    <row r="98">
      <c r="I98" s="83">
        <f t="shared" ref="I98:I105" si="15">I97+1</f>
        <v>14</v>
      </c>
      <c r="J98" s="84" t="s">
        <v>90</v>
      </c>
      <c r="K98" s="38" t="s">
        <v>61</v>
      </c>
      <c r="L98" s="71">
        <v>1.0</v>
      </c>
      <c r="M98" s="43" t="s">
        <v>68</v>
      </c>
    </row>
    <row r="99">
      <c r="I99" s="83">
        <f t="shared" si="15"/>
        <v>15</v>
      </c>
      <c r="J99" s="84" t="s">
        <v>92</v>
      </c>
      <c r="K99" s="57"/>
      <c r="L99" s="71">
        <v>1.0</v>
      </c>
      <c r="M99" s="43" t="s">
        <v>68</v>
      </c>
    </row>
    <row r="100">
      <c r="I100" s="83">
        <f t="shared" si="15"/>
        <v>16</v>
      </c>
      <c r="J100" s="84" t="s">
        <v>93</v>
      </c>
      <c r="K100" s="57"/>
      <c r="L100" s="71">
        <v>1.0</v>
      </c>
      <c r="M100" s="43" t="s">
        <v>68</v>
      </c>
    </row>
    <row r="101">
      <c r="I101" s="101">
        <f t="shared" si="15"/>
        <v>17</v>
      </c>
      <c r="J101" s="102" t="s">
        <v>123</v>
      </c>
      <c r="K101" s="57"/>
      <c r="L101" s="71">
        <v>1.0</v>
      </c>
      <c r="M101" s="43" t="s">
        <v>68</v>
      </c>
    </row>
    <row r="102">
      <c r="I102" s="101">
        <f t="shared" si="15"/>
        <v>18</v>
      </c>
      <c r="J102" s="102" t="s">
        <v>124</v>
      </c>
      <c r="K102" s="57"/>
      <c r="L102" s="71">
        <v>1.0</v>
      </c>
      <c r="M102" s="43" t="s">
        <v>68</v>
      </c>
    </row>
    <row r="103">
      <c r="I103" s="101">
        <f t="shared" si="15"/>
        <v>19</v>
      </c>
      <c r="J103" s="102" t="s">
        <v>125</v>
      </c>
      <c r="K103" s="57"/>
      <c r="L103" s="71">
        <v>1.0</v>
      </c>
      <c r="M103" s="43" t="s">
        <v>68</v>
      </c>
    </row>
    <row r="104">
      <c r="I104" s="101">
        <f t="shared" si="15"/>
        <v>20</v>
      </c>
      <c r="J104" s="90" t="s">
        <v>127</v>
      </c>
      <c r="K104" s="57"/>
      <c r="L104" s="71">
        <v>1.0</v>
      </c>
      <c r="M104" s="43" t="s">
        <v>68</v>
      </c>
    </row>
    <row r="105">
      <c r="I105" s="101">
        <f t="shared" si="15"/>
        <v>21</v>
      </c>
      <c r="J105" s="90" t="s">
        <v>117</v>
      </c>
      <c r="K105" s="57"/>
      <c r="L105" s="71">
        <v>1.0</v>
      </c>
      <c r="M105" s="43" t="s">
        <v>68</v>
      </c>
    </row>
    <row r="109">
      <c r="I109" s="8" t="s">
        <v>156</v>
      </c>
      <c r="J109" s="10"/>
      <c r="K109" s="10"/>
      <c r="L109" s="10"/>
      <c r="M109" s="13"/>
    </row>
    <row r="110">
      <c r="I110" s="15" t="s">
        <v>13</v>
      </c>
      <c r="J110" s="17" t="s">
        <v>16</v>
      </c>
      <c r="K110" s="24" t="s">
        <v>23</v>
      </c>
      <c r="L110" s="26" t="s">
        <v>24</v>
      </c>
      <c r="M110" s="28" t="s">
        <v>27</v>
      </c>
    </row>
    <row r="111">
      <c r="I111" s="31">
        <v>1.0</v>
      </c>
      <c r="J111" s="32" t="s">
        <v>25</v>
      </c>
      <c r="K111" s="38" t="s">
        <v>153</v>
      </c>
      <c r="L111" s="41">
        <v>1.8</v>
      </c>
      <c r="M111" s="43" t="s">
        <v>46</v>
      </c>
    </row>
    <row r="112">
      <c r="I112" s="31">
        <f t="shared" ref="I112:I114" si="16">I111+1</f>
        <v>2</v>
      </c>
      <c r="J112" s="32" t="s">
        <v>57</v>
      </c>
      <c r="K112" s="38" t="s">
        <v>153</v>
      </c>
      <c r="L112" s="51">
        <f>25/110</f>
        <v>0.2272727273</v>
      </c>
      <c r="M112" s="53" t="s">
        <v>62</v>
      </c>
    </row>
    <row r="113">
      <c r="I113" s="52">
        <f t="shared" si="16"/>
        <v>3</v>
      </c>
      <c r="J113" s="55" t="s">
        <v>63</v>
      </c>
      <c r="K113" s="57"/>
      <c r="L113" s="51">
        <f>1/3</f>
        <v>0.3333333333</v>
      </c>
      <c r="M113" s="61" t="s">
        <v>68</v>
      </c>
    </row>
    <row r="114">
      <c r="I114" s="60">
        <f t="shared" si="16"/>
        <v>4</v>
      </c>
      <c r="J114" s="63" t="s">
        <v>77</v>
      </c>
      <c r="K114" s="38" t="s">
        <v>149</v>
      </c>
      <c r="L114" s="65">
        <v>1.0</v>
      </c>
      <c r="M114" s="61" t="s">
        <v>68</v>
      </c>
    </row>
    <row r="115">
      <c r="I115" s="66">
        <v>5.0</v>
      </c>
      <c r="J115" s="69" t="s">
        <v>83</v>
      </c>
      <c r="K115" s="70"/>
      <c r="L115" s="71">
        <v>1.0</v>
      </c>
      <c r="M115" s="61" t="s">
        <v>68</v>
      </c>
    </row>
    <row r="116">
      <c r="I116" s="73">
        <f>I115+1</f>
        <v>6</v>
      </c>
      <c r="J116" s="74" t="s">
        <v>64</v>
      </c>
      <c r="K116" s="57"/>
      <c r="L116" s="65">
        <v>1.0</v>
      </c>
      <c r="M116" s="61" t="s">
        <v>68</v>
      </c>
    </row>
    <row r="117">
      <c r="I117" s="78">
        <v>7.0</v>
      </c>
      <c r="J117" s="80" t="s">
        <v>71</v>
      </c>
      <c r="K117" s="57"/>
      <c r="L117" s="41">
        <v>0.5</v>
      </c>
      <c r="M117" s="61" t="s">
        <v>96</v>
      </c>
    </row>
    <row r="118">
      <c r="I118" s="83">
        <f t="shared" ref="I118:I123" si="17">I117+1</f>
        <v>8</v>
      </c>
      <c r="J118" s="84" t="s">
        <v>75</v>
      </c>
      <c r="K118" s="57"/>
      <c r="L118" s="71">
        <v>3.0</v>
      </c>
      <c r="M118" s="43" t="s">
        <v>68</v>
      </c>
    </row>
    <row r="119">
      <c r="I119" s="83">
        <f t="shared" si="17"/>
        <v>9</v>
      </c>
      <c r="J119" s="84" t="s">
        <v>76</v>
      </c>
      <c r="K119" s="57"/>
      <c r="L119" s="41">
        <v>2.5</v>
      </c>
      <c r="M119" s="61" t="s">
        <v>96</v>
      </c>
    </row>
    <row r="120">
      <c r="I120" s="83">
        <f t="shared" si="17"/>
        <v>10</v>
      </c>
      <c r="J120" s="84" t="s">
        <v>79</v>
      </c>
      <c r="K120" s="57"/>
      <c r="L120" s="71">
        <v>4.0</v>
      </c>
      <c r="M120" s="61" t="s">
        <v>68</v>
      </c>
    </row>
    <row r="121">
      <c r="I121" s="83">
        <f t="shared" si="17"/>
        <v>11</v>
      </c>
      <c r="J121" s="84" t="s">
        <v>80</v>
      </c>
      <c r="K121" s="57"/>
      <c r="L121" s="41">
        <v>0.1</v>
      </c>
      <c r="M121" s="43" t="s">
        <v>96</v>
      </c>
    </row>
    <row r="122">
      <c r="I122" s="83">
        <f t="shared" si="17"/>
        <v>12</v>
      </c>
      <c r="J122" s="94" t="s">
        <v>113</v>
      </c>
      <c r="K122" s="57"/>
      <c r="L122" s="71">
        <v>8.0</v>
      </c>
      <c r="M122" s="43" t="s">
        <v>68</v>
      </c>
    </row>
    <row r="123">
      <c r="I123" s="83">
        <f t="shared" si="17"/>
        <v>13</v>
      </c>
      <c r="J123" s="94" t="s">
        <v>84</v>
      </c>
      <c r="K123" s="57"/>
      <c r="L123" s="71">
        <v>8.0</v>
      </c>
      <c r="M123" s="43" t="s">
        <v>68</v>
      </c>
    </row>
    <row r="124">
      <c r="I124" s="83">
        <f>I122+1</f>
        <v>13</v>
      </c>
      <c r="J124" s="94" t="s">
        <v>88</v>
      </c>
      <c r="K124" s="38" t="s">
        <v>153</v>
      </c>
      <c r="L124" s="98">
        <v>1.0</v>
      </c>
      <c r="M124" s="43" t="s">
        <v>68</v>
      </c>
    </row>
    <row r="125">
      <c r="I125" s="83">
        <f t="shared" ref="I125:I132" si="18">I124+1</f>
        <v>14</v>
      </c>
      <c r="J125" s="84" t="s">
        <v>90</v>
      </c>
      <c r="K125" s="38" t="s">
        <v>153</v>
      </c>
      <c r="L125" s="71">
        <v>1.0</v>
      </c>
      <c r="M125" s="43" t="s">
        <v>68</v>
      </c>
    </row>
    <row r="126">
      <c r="I126" s="83">
        <f t="shared" si="18"/>
        <v>15</v>
      </c>
      <c r="J126" s="84" t="s">
        <v>92</v>
      </c>
      <c r="K126" s="57"/>
      <c r="L126" s="71">
        <v>1.0</v>
      </c>
      <c r="M126" s="43" t="s">
        <v>68</v>
      </c>
    </row>
    <row r="127">
      <c r="I127" s="83">
        <f t="shared" si="18"/>
        <v>16</v>
      </c>
      <c r="J127" s="84" t="s">
        <v>93</v>
      </c>
      <c r="K127" s="57"/>
      <c r="L127" s="71">
        <v>1.0</v>
      </c>
      <c r="M127" s="43" t="s">
        <v>68</v>
      </c>
    </row>
    <row r="128">
      <c r="I128" s="101">
        <f t="shared" si="18"/>
        <v>17</v>
      </c>
      <c r="J128" s="102" t="s">
        <v>123</v>
      </c>
      <c r="K128" s="57"/>
      <c r="L128" s="71">
        <v>1.0</v>
      </c>
      <c r="M128" s="43" t="s">
        <v>68</v>
      </c>
    </row>
    <row r="129">
      <c r="I129" s="101">
        <f t="shared" si="18"/>
        <v>18</v>
      </c>
      <c r="J129" s="102" t="s">
        <v>124</v>
      </c>
      <c r="K129" s="57"/>
      <c r="L129" s="71">
        <v>1.0</v>
      </c>
      <c r="M129" s="43" t="s">
        <v>68</v>
      </c>
    </row>
    <row r="130">
      <c r="I130" s="101">
        <f t="shared" si="18"/>
        <v>19</v>
      </c>
      <c r="J130" s="102" t="s">
        <v>125</v>
      </c>
      <c r="K130" s="57"/>
      <c r="L130" s="71">
        <v>1.0</v>
      </c>
      <c r="M130" s="43" t="s">
        <v>68</v>
      </c>
    </row>
    <row r="131">
      <c r="I131" s="101">
        <f t="shared" si="18"/>
        <v>20</v>
      </c>
      <c r="J131" s="49" t="s">
        <v>127</v>
      </c>
      <c r="K131" s="57"/>
      <c r="L131" s="71">
        <v>1.0</v>
      </c>
      <c r="M131" s="43" t="s">
        <v>68</v>
      </c>
    </row>
    <row r="132">
      <c r="I132" s="101">
        <f t="shared" si="18"/>
        <v>21</v>
      </c>
      <c r="J132" s="100" t="s">
        <v>117</v>
      </c>
      <c r="K132" s="57"/>
      <c r="L132" s="71">
        <v>1.0</v>
      </c>
      <c r="M132" s="43" t="s">
        <v>68</v>
      </c>
    </row>
  </sheetData>
  <mergeCells count="32">
    <mergeCell ref="A1:J1"/>
    <mergeCell ref="A4:F4"/>
    <mergeCell ref="I4:M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I29:M29"/>
    <mergeCell ref="I55:M55"/>
    <mergeCell ref="I82:M82"/>
    <mergeCell ref="I109:M109"/>
    <mergeCell ref="C23:E23"/>
    <mergeCell ref="C24:E24"/>
    <mergeCell ref="C25:E25"/>
    <mergeCell ref="C26:E26"/>
    <mergeCell ref="C27:E27"/>
    <mergeCell ref="C28:E28"/>
    <mergeCell ref="C29:E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1.13"/>
    <col customWidth="1" min="10" max="10" width="41.13"/>
  </cols>
  <sheetData>
    <row r="1">
      <c r="A1" s="110" t="s">
        <v>143</v>
      </c>
    </row>
    <row r="4">
      <c r="A4" s="4" t="s">
        <v>4</v>
      </c>
      <c r="I4" s="8" t="s">
        <v>144</v>
      </c>
      <c r="J4" s="10"/>
      <c r="K4" s="10"/>
      <c r="L4" s="10"/>
      <c r="M4" s="13"/>
      <c r="O4" s="30" t="s">
        <v>145</v>
      </c>
    </row>
    <row r="5">
      <c r="A5" s="7" t="s">
        <v>13</v>
      </c>
      <c r="B5" s="9" t="s">
        <v>16</v>
      </c>
      <c r="C5" s="20" t="s">
        <v>19</v>
      </c>
      <c r="D5" s="10"/>
      <c r="E5" s="13"/>
      <c r="F5" s="18" t="s">
        <v>22</v>
      </c>
      <c r="I5" s="15" t="s">
        <v>13</v>
      </c>
      <c r="J5" s="17" t="s">
        <v>16</v>
      </c>
      <c r="K5" s="24" t="s">
        <v>23</v>
      </c>
      <c r="L5" s="26" t="s">
        <v>24</v>
      </c>
      <c r="M5" s="28" t="s">
        <v>27</v>
      </c>
    </row>
    <row r="6" ht="45.75" customHeight="1">
      <c r="A6" s="111">
        <v>1.0</v>
      </c>
      <c r="B6" s="112" t="s">
        <v>28</v>
      </c>
      <c r="C6" s="113" t="s">
        <v>147</v>
      </c>
      <c r="D6" s="10"/>
      <c r="E6" s="13"/>
      <c r="F6" s="114" t="s">
        <v>42</v>
      </c>
      <c r="I6" s="111">
        <v>1.0</v>
      </c>
      <c r="J6" s="112" t="s">
        <v>28</v>
      </c>
      <c r="K6" s="23"/>
      <c r="L6" s="42">
        <v>1.4</v>
      </c>
      <c r="M6" s="42" t="s">
        <v>96</v>
      </c>
    </row>
    <row r="7">
      <c r="A7" s="19">
        <f t="shared" ref="A7:A23" si="1">A6+1</f>
        <v>2</v>
      </c>
      <c r="B7" s="29" t="s">
        <v>36</v>
      </c>
      <c r="C7" s="33"/>
      <c r="D7" s="10"/>
      <c r="E7" s="13"/>
      <c r="F7" s="36" t="s">
        <v>42</v>
      </c>
      <c r="I7" s="19">
        <f t="shared" ref="I7:I10" si="2">I6+1</f>
        <v>2</v>
      </c>
      <c r="J7" s="29" t="s">
        <v>36</v>
      </c>
      <c r="K7" s="38" t="s">
        <v>44</v>
      </c>
      <c r="L7" s="41">
        <f>1/2</f>
        <v>0.5</v>
      </c>
      <c r="M7" s="43" t="s">
        <v>46</v>
      </c>
    </row>
    <row r="8">
      <c r="A8" s="19">
        <f t="shared" si="1"/>
        <v>3</v>
      </c>
      <c r="B8" s="29" t="s">
        <v>150</v>
      </c>
      <c r="C8" s="33"/>
      <c r="D8" s="10"/>
      <c r="E8" s="13"/>
      <c r="F8" s="36" t="s">
        <v>42</v>
      </c>
      <c r="I8" s="19">
        <f t="shared" si="2"/>
        <v>3</v>
      </c>
      <c r="J8" s="29" t="s">
        <v>150</v>
      </c>
      <c r="K8" s="38" t="s">
        <v>44</v>
      </c>
      <c r="L8" s="51">
        <f>1/4</f>
        <v>0.25</v>
      </c>
      <c r="M8" s="43" t="s">
        <v>96</v>
      </c>
    </row>
    <row r="9">
      <c r="A9" s="50">
        <f t="shared" si="1"/>
        <v>4</v>
      </c>
      <c r="B9" s="49" t="s">
        <v>63</v>
      </c>
      <c r="C9" s="33"/>
      <c r="D9" s="10"/>
      <c r="E9" s="13"/>
      <c r="F9" s="36" t="s">
        <v>42</v>
      </c>
      <c r="I9" s="50">
        <f t="shared" si="2"/>
        <v>4</v>
      </c>
      <c r="J9" s="49" t="s">
        <v>63</v>
      </c>
      <c r="K9" s="57"/>
      <c r="L9" s="51">
        <f>1/3</f>
        <v>0.3333333333</v>
      </c>
      <c r="M9" s="61" t="s">
        <v>68</v>
      </c>
    </row>
    <row r="10">
      <c r="A10" s="44">
        <f t="shared" si="1"/>
        <v>5</v>
      </c>
      <c r="B10" s="37" t="s">
        <v>56</v>
      </c>
      <c r="C10" s="33" t="s">
        <v>45</v>
      </c>
      <c r="D10" s="10"/>
      <c r="E10" s="13"/>
      <c r="F10" s="36" t="s">
        <v>42</v>
      </c>
      <c r="I10" s="44">
        <f t="shared" si="2"/>
        <v>5</v>
      </c>
      <c r="J10" s="63" t="s">
        <v>154</v>
      </c>
      <c r="K10" s="38" t="s">
        <v>155</v>
      </c>
      <c r="L10" s="65">
        <v>1.0</v>
      </c>
      <c r="M10" s="61" t="s">
        <v>68</v>
      </c>
    </row>
    <row r="11">
      <c r="A11" s="44">
        <f t="shared" si="1"/>
        <v>6</v>
      </c>
      <c r="B11" s="37" t="s">
        <v>58</v>
      </c>
      <c r="C11" s="33" t="s">
        <v>51</v>
      </c>
      <c r="D11" s="10"/>
      <c r="E11" s="13"/>
      <c r="F11" s="36" t="s">
        <v>42</v>
      </c>
      <c r="I11" s="35">
        <v>6.0</v>
      </c>
      <c r="J11" s="48" t="s">
        <v>54</v>
      </c>
      <c r="K11" s="70"/>
      <c r="L11" s="71">
        <v>0.4</v>
      </c>
      <c r="M11" s="61" t="s">
        <v>46</v>
      </c>
    </row>
    <row r="12">
      <c r="A12" s="44">
        <f t="shared" si="1"/>
        <v>7</v>
      </c>
      <c r="B12" s="37" t="s">
        <v>60</v>
      </c>
      <c r="C12" s="33" t="s">
        <v>61</v>
      </c>
      <c r="D12" s="10"/>
      <c r="E12" s="13"/>
      <c r="F12" s="36" t="s">
        <v>42</v>
      </c>
      <c r="I12" s="54">
        <f t="shared" ref="I12:I21" si="3">I11+1</f>
        <v>7</v>
      </c>
      <c r="J12" s="56" t="s">
        <v>67</v>
      </c>
      <c r="K12" s="57"/>
      <c r="L12" s="65">
        <v>1.0</v>
      </c>
      <c r="M12" s="61" t="s">
        <v>68</v>
      </c>
    </row>
    <row r="13">
      <c r="A13" s="44">
        <f t="shared" si="1"/>
        <v>8</v>
      </c>
      <c r="B13" s="48" t="s">
        <v>54</v>
      </c>
      <c r="C13" s="33"/>
      <c r="D13" s="10"/>
      <c r="E13" s="13"/>
      <c r="F13" s="36" t="s">
        <v>42</v>
      </c>
      <c r="I13" s="54">
        <f t="shared" si="3"/>
        <v>8</v>
      </c>
      <c r="J13" s="56" t="s">
        <v>66</v>
      </c>
      <c r="K13" s="57"/>
      <c r="L13" s="41">
        <v>2.0</v>
      </c>
      <c r="M13" s="61" t="s">
        <v>68</v>
      </c>
    </row>
    <row r="14">
      <c r="A14" s="54">
        <f t="shared" si="1"/>
        <v>9</v>
      </c>
      <c r="B14" s="56" t="s">
        <v>67</v>
      </c>
      <c r="C14" s="33"/>
      <c r="D14" s="10"/>
      <c r="E14" s="13"/>
      <c r="F14" s="36" t="s">
        <v>42</v>
      </c>
      <c r="I14" s="58">
        <f t="shared" si="3"/>
        <v>9</v>
      </c>
      <c r="J14" s="59" t="s">
        <v>72</v>
      </c>
      <c r="K14" s="57"/>
      <c r="L14" s="71">
        <v>8.0</v>
      </c>
      <c r="M14" s="43" t="s">
        <v>68</v>
      </c>
    </row>
    <row r="15">
      <c r="A15" s="54">
        <f t="shared" si="1"/>
        <v>10</v>
      </c>
      <c r="B15" s="56" t="s">
        <v>66</v>
      </c>
      <c r="C15" s="33"/>
      <c r="D15" s="10"/>
      <c r="E15" s="13"/>
      <c r="F15" s="36" t="s">
        <v>42</v>
      </c>
      <c r="I15" s="58">
        <f t="shared" si="3"/>
        <v>10</v>
      </c>
      <c r="J15" s="59" t="s">
        <v>74</v>
      </c>
      <c r="K15" s="57"/>
      <c r="L15" s="41">
        <v>2.0</v>
      </c>
      <c r="M15" s="61" t="s">
        <v>68</v>
      </c>
    </row>
    <row r="16">
      <c r="A16" s="58">
        <f t="shared" si="1"/>
        <v>11</v>
      </c>
      <c r="B16" s="59" t="s">
        <v>72</v>
      </c>
      <c r="C16" s="33"/>
      <c r="D16" s="10"/>
      <c r="E16" s="13"/>
      <c r="F16" s="36" t="s">
        <v>42</v>
      </c>
      <c r="I16" s="62">
        <f t="shared" si="3"/>
        <v>11</v>
      </c>
      <c r="J16" s="64" t="s">
        <v>75</v>
      </c>
      <c r="K16" s="57"/>
      <c r="L16" s="71">
        <v>4.0</v>
      </c>
      <c r="M16" s="61" t="s">
        <v>68</v>
      </c>
    </row>
    <row r="17">
      <c r="A17" s="58">
        <f t="shared" si="1"/>
        <v>12</v>
      </c>
      <c r="B17" s="59" t="s">
        <v>74</v>
      </c>
      <c r="C17" s="33"/>
      <c r="D17" s="10"/>
      <c r="E17" s="13"/>
      <c r="F17" s="36" t="s">
        <v>42</v>
      </c>
      <c r="I17" s="62">
        <f t="shared" si="3"/>
        <v>12</v>
      </c>
      <c r="J17" s="64" t="s">
        <v>76</v>
      </c>
      <c r="K17" s="57"/>
      <c r="L17" s="41">
        <v>1.5</v>
      </c>
      <c r="M17" s="43" t="s">
        <v>96</v>
      </c>
    </row>
    <row r="18">
      <c r="A18" s="62">
        <f t="shared" si="1"/>
        <v>13</v>
      </c>
      <c r="B18" s="64" t="s">
        <v>75</v>
      </c>
      <c r="C18" s="33"/>
      <c r="D18" s="10"/>
      <c r="E18" s="13"/>
      <c r="F18" s="36" t="s">
        <v>42</v>
      </c>
      <c r="I18" s="62">
        <f t="shared" si="3"/>
        <v>13</v>
      </c>
      <c r="J18" s="64" t="s">
        <v>79</v>
      </c>
      <c r="K18" s="57"/>
      <c r="L18" s="71">
        <v>2.0</v>
      </c>
      <c r="M18" s="43" t="s">
        <v>68</v>
      </c>
    </row>
    <row r="19">
      <c r="A19" s="62">
        <f t="shared" si="1"/>
        <v>14</v>
      </c>
      <c r="B19" s="64" t="s">
        <v>76</v>
      </c>
      <c r="C19" s="33"/>
      <c r="D19" s="10"/>
      <c r="E19" s="13"/>
      <c r="F19" s="36" t="s">
        <v>42</v>
      </c>
      <c r="I19" s="62">
        <f t="shared" si="3"/>
        <v>14</v>
      </c>
      <c r="J19" s="64" t="s">
        <v>80</v>
      </c>
      <c r="K19" s="57"/>
      <c r="L19" s="41">
        <v>0.1</v>
      </c>
      <c r="M19" s="43" t="s">
        <v>96</v>
      </c>
    </row>
    <row r="20">
      <c r="A20" s="62">
        <f t="shared" si="1"/>
        <v>15</v>
      </c>
      <c r="B20" s="64" t="s">
        <v>79</v>
      </c>
      <c r="C20" s="33"/>
      <c r="D20" s="10"/>
      <c r="E20" s="13"/>
      <c r="F20" s="36" t="s">
        <v>42</v>
      </c>
      <c r="I20" s="62">
        <f t="shared" si="3"/>
        <v>15</v>
      </c>
      <c r="J20" s="67" t="s">
        <v>130</v>
      </c>
      <c r="K20" s="57"/>
      <c r="L20" s="98">
        <v>4.0</v>
      </c>
      <c r="M20" s="43" t="s">
        <v>68</v>
      </c>
    </row>
    <row r="21">
      <c r="A21" s="62">
        <f t="shared" si="1"/>
        <v>16</v>
      </c>
      <c r="B21" s="64" t="s">
        <v>80</v>
      </c>
      <c r="C21" s="33"/>
      <c r="D21" s="10"/>
      <c r="E21" s="13"/>
      <c r="F21" s="36" t="s">
        <v>42</v>
      </c>
      <c r="I21" s="62">
        <f t="shared" si="3"/>
        <v>16</v>
      </c>
      <c r="J21" s="67" t="s">
        <v>158</v>
      </c>
      <c r="K21" s="57"/>
      <c r="L21" s="71">
        <v>4.0</v>
      </c>
      <c r="M21" s="43" t="s">
        <v>68</v>
      </c>
    </row>
    <row r="22">
      <c r="A22" s="62">
        <f t="shared" si="1"/>
        <v>17</v>
      </c>
      <c r="B22" s="67" t="s">
        <v>130</v>
      </c>
      <c r="C22" s="33"/>
      <c r="D22" s="10"/>
      <c r="E22" s="13"/>
      <c r="F22" s="36" t="s">
        <v>42</v>
      </c>
      <c r="I22" s="62">
        <f>I20+1</f>
        <v>16</v>
      </c>
      <c r="J22" s="64" t="s">
        <v>159</v>
      </c>
      <c r="K22" s="38" t="s">
        <v>44</v>
      </c>
      <c r="L22" s="71">
        <v>1.0</v>
      </c>
      <c r="M22" s="43" t="s">
        <v>68</v>
      </c>
    </row>
    <row r="23">
      <c r="A23" s="62">
        <f t="shared" si="1"/>
        <v>18</v>
      </c>
      <c r="B23" s="67" t="s">
        <v>158</v>
      </c>
      <c r="C23" s="33"/>
      <c r="D23" s="10"/>
      <c r="E23" s="13"/>
      <c r="F23" s="36" t="s">
        <v>42</v>
      </c>
      <c r="I23" s="62">
        <f t="shared" ref="I23:I25" si="4">I22+1</f>
        <v>17</v>
      </c>
      <c r="J23" s="64" t="s">
        <v>90</v>
      </c>
      <c r="K23" s="38" t="s">
        <v>44</v>
      </c>
      <c r="L23" s="71">
        <v>1.0</v>
      </c>
      <c r="M23" s="43" t="s">
        <v>68</v>
      </c>
    </row>
    <row r="24">
      <c r="A24" s="62">
        <f>A22+1</f>
        <v>18</v>
      </c>
      <c r="B24" s="64" t="s">
        <v>159</v>
      </c>
      <c r="C24" s="33" t="s">
        <v>160</v>
      </c>
      <c r="D24" s="10"/>
      <c r="E24" s="13"/>
      <c r="F24" s="36" t="s">
        <v>42</v>
      </c>
      <c r="I24" s="62">
        <f t="shared" si="4"/>
        <v>18</v>
      </c>
      <c r="J24" s="64" t="s">
        <v>92</v>
      </c>
      <c r="K24" s="57"/>
      <c r="L24" s="71">
        <v>1.0</v>
      </c>
      <c r="M24" s="43" t="s">
        <v>68</v>
      </c>
    </row>
    <row r="25">
      <c r="A25" s="62">
        <f t="shared" ref="A25:A27" si="5">A24+1</f>
        <v>19</v>
      </c>
      <c r="B25" s="64" t="s">
        <v>90</v>
      </c>
      <c r="C25" s="33" t="s">
        <v>160</v>
      </c>
      <c r="D25" s="10"/>
      <c r="E25" s="13"/>
      <c r="F25" s="36" t="s">
        <v>133</v>
      </c>
      <c r="I25" s="62">
        <f t="shared" si="4"/>
        <v>19</v>
      </c>
      <c r="J25" s="64" t="s">
        <v>93</v>
      </c>
      <c r="K25" s="57"/>
      <c r="L25" s="71">
        <v>1.0</v>
      </c>
      <c r="M25" s="43" t="s">
        <v>68</v>
      </c>
    </row>
    <row r="26">
      <c r="A26" s="62">
        <f t="shared" si="5"/>
        <v>20</v>
      </c>
      <c r="B26" s="64" t="s">
        <v>92</v>
      </c>
      <c r="C26" s="33"/>
      <c r="D26" s="10"/>
      <c r="E26" s="13"/>
      <c r="F26" s="36" t="s">
        <v>133</v>
      </c>
      <c r="I26" s="108">
        <v>21.0</v>
      </c>
      <c r="J26" s="49" t="s">
        <v>123</v>
      </c>
      <c r="K26" s="57"/>
      <c r="L26" s="71">
        <v>1.0</v>
      </c>
      <c r="M26" s="43" t="s">
        <v>68</v>
      </c>
    </row>
    <row r="27">
      <c r="A27" s="62">
        <f t="shared" si="5"/>
        <v>21</v>
      </c>
      <c r="B27" s="64" t="s">
        <v>93</v>
      </c>
      <c r="C27" s="33"/>
      <c r="D27" s="10"/>
      <c r="E27" s="13"/>
      <c r="F27" s="36" t="s">
        <v>133</v>
      </c>
      <c r="I27" s="107">
        <f t="shared" ref="I27:I31" si="6">I26+1</f>
        <v>22</v>
      </c>
      <c r="J27" s="49" t="s">
        <v>124</v>
      </c>
      <c r="K27" s="57"/>
      <c r="L27" s="71">
        <v>1.0</v>
      </c>
      <c r="M27" s="43" t="s">
        <v>68</v>
      </c>
    </row>
    <row r="28">
      <c r="A28" s="108">
        <v>21.0</v>
      </c>
      <c r="B28" s="49" t="s">
        <v>123</v>
      </c>
      <c r="C28" s="33"/>
      <c r="D28" s="10"/>
      <c r="E28" s="13"/>
      <c r="F28" s="36" t="s">
        <v>42</v>
      </c>
      <c r="I28" s="107">
        <f t="shared" si="6"/>
        <v>23</v>
      </c>
      <c r="J28" s="49" t="s">
        <v>125</v>
      </c>
      <c r="K28" s="57"/>
      <c r="L28" s="71">
        <v>1.0</v>
      </c>
      <c r="M28" s="43" t="s">
        <v>68</v>
      </c>
    </row>
    <row r="29">
      <c r="A29" s="107">
        <f t="shared" ref="A29:A33" si="7">A28+1</f>
        <v>22</v>
      </c>
      <c r="B29" s="49" t="s">
        <v>124</v>
      </c>
      <c r="C29" s="33"/>
      <c r="D29" s="10"/>
      <c r="E29" s="13"/>
      <c r="F29" s="36" t="s">
        <v>42</v>
      </c>
      <c r="I29" s="107">
        <f t="shared" si="6"/>
        <v>24</v>
      </c>
      <c r="J29" s="49" t="s">
        <v>127</v>
      </c>
      <c r="K29" s="57"/>
      <c r="L29" s="71">
        <v>1.0</v>
      </c>
      <c r="M29" s="43" t="s">
        <v>68</v>
      </c>
    </row>
    <row r="30">
      <c r="A30" s="107">
        <f t="shared" si="7"/>
        <v>23</v>
      </c>
      <c r="B30" s="49" t="s">
        <v>125</v>
      </c>
      <c r="C30" s="33"/>
      <c r="D30" s="10"/>
      <c r="E30" s="13"/>
      <c r="F30" s="36" t="s">
        <v>42</v>
      </c>
      <c r="I30" s="107">
        <f t="shared" si="6"/>
        <v>25</v>
      </c>
      <c r="J30" s="100" t="s">
        <v>120</v>
      </c>
      <c r="K30" s="57"/>
      <c r="L30" s="71">
        <v>1.0</v>
      </c>
      <c r="M30" s="43" t="s">
        <v>68</v>
      </c>
    </row>
    <row r="31">
      <c r="A31" s="107">
        <f t="shared" si="7"/>
        <v>24</v>
      </c>
      <c r="B31" s="49" t="s">
        <v>127</v>
      </c>
      <c r="C31" s="33"/>
      <c r="D31" s="10"/>
      <c r="E31" s="13"/>
      <c r="F31" s="36" t="s">
        <v>133</v>
      </c>
      <c r="I31" s="107">
        <f t="shared" si="6"/>
        <v>26</v>
      </c>
      <c r="J31" s="100" t="s">
        <v>117</v>
      </c>
      <c r="K31" s="57"/>
      <c r="L31" s="71">
        <v>1.0</v>
      </c>
      <c r="M31" s="43" t="s">
        <v>68</v>
      </c>
    </row>
    <row r="32">
      <c r="A32" s="107">
        <f t="shared" si="7"/>
        <v>25</v>
      </c>
      <c r="B32" s="100" t="s">
        <v>120</v>
      </c>
      <c r="C32" s="33"/>
      <c r="D32" s="10"/>
      <c r="E32" s="13"/>
      <c r="F32" s="36" t="s">
        <v>137</v>
      </c>
      <c r="I32" s="116"/>
      <c r="J32" s="117"/>
    </row>
    <row r="33">
      <c r="A33" s="107">
        <f t="shared" si="7"/>
        <v>26</v>
      </c>
      <c r="B33" s="100" t="s">
        <v>117</v>
      </c>
      <c r="C33" s="33"/>
      <c r="D33" s="10"/>
      <c r="E33" s="13"/>
      <c r="F33" s="36" t="s">
        <v>137</v>
      </c>
      <c r="I33" s="109"/>
      <c r="J33" s="2"/>
    </row>
    <row r="34">
      <c r="I34" s="8" t="s">
        <v>162</v>
      </c>
      <c r="J34" s="10"/>
      <c r="K34" s="10"/>
      <c r="L34" s="10"/>
      <c r="M34" s="13"/>
    </row>
    <row r="35">
      <c r="I35" s="15" t="s">
        <v>13</v>
      </c>
      <c r="J35" s="17" t="s">
        <v>16</v>
      </c>
      <c r="K35" s="24" t="s">
        <v>23</v>
      </c>
      <c r="L35" s="26" t="s">
        <v>24</v>
      </c>
      <c r="M35" s="28" t="s">
        <v>27</v>
      </c>
      <c r="N35" s="118"/>
    </row>
    <row r="36">
      <c r="I36" s="111">
        <v>1.0</v>
      </c>
      <c r="J36" s="112" t="s">
        <v>28</v>
      </c>
      <c r="K36" s="23"/>
      <c r="L36" s="42">
        <v>1.45</v>
      </c>
      <c r="M36" s="42" t="s">
        <v>96</v>
      </c>
    </row>
    <row r="37">
      <c r="I37" s="19">
        <f t="shared" ref="I37:I40" si="8">I36+1</f>
        <v>2</v>
      </c>
      <c r="J37" s="29" t="s">
        <v>36</v>
      </c>
      <c r="K37" s="38" t="s">
        <v>44</v>
      </c>
      <c r="L37" s="41">
        <f>1/2</f>
        <v>0.5</v>
      </c>
      <c r="M37" s="43" t="s">
        <v>46</v>
      </c>
    </row>
    <row r="38">
      <c r="I38" s="19">
        <f t="shared" si="8"/>
        <v>3</v>
      </c>
      <c r="J38" s="29" t="s">
        <v>150</v>
      </c>
      <c r="K38" s="38" t="s">
        <v>44</v>
      </c>
      <c r="L38" s="51">
        <f>1/4</f>
        <v>0.25</v>
      </c>
      <c r="M38" s="43" t="s">
        <v>96</v>
      </c>
    </row>
    <row r="39">
      <c r="I39" s="50">
        <f t="shared" si="8"/>
        <v>4</v>
      </c>
      <c r="J39" s="49" t="s">
        <v>63</v>
      </c>
      <c r="K39" s="57"/>
      <c r="L39" s="51">
        <f>1/3</f>
        <v>0.3333333333</v>
      </c>
      <c r="M39" s="61" t="s">
        <v>68</v>
      </c>
    </row>
    <row r="40">
      <c r="I40" s="44">
        <f t="shared" si="8"/>
        <v>5</v>
      </c>
      <c r="J40" s="63" t="s">
        <v>154</v>
      </c>
      <c r="K40" s="38" t="s">
        <v>155</v>
      </c>
      <c r="L40" s="65">
        <v>1.0</v>
      </c>
      <c r="M40" s="61" t="s">
        <v>68</v>
      </c>
    </row>
    <row r="41">
      <c r="I41" s="35">
        <v>6.0</v>
      </c>
      <c r="J41" s="48" t="s">
        <v>54</v>
      </c>
      <c r="K41" s="70"/>
      <c r="L41" s="71">
        <v>0.4</v>
      </c>
      <c r="M41" s="61" t="s">
        <v>46</v>
      </c>
    </row>
    <row r="42">
      <c r="I42" s="54">
        <f t="shared" ref="I42:I51" si="9">I41+1</f>
        <v>7</v>
      </c>
      <c r="J42" s="56" t="s">
        <v>67</v>
      </c>
      <c r="K42" s="57"/>
      <c r="L42" s="65">
        <v>1.0</v>
      </c>
      <c r="M42" s="61" t="s">
        <v>68</v>
      </c>
    </row>
    <row r="43">
      <c r="I43" s="54">
        <f t="shared" si="9"/>
        <v>8</v>
      </c>
      <c r="J43" s="56" t="s">
        <v>66</v>
      </c>
      <c r="K43" s="57"/>
      <c r="L43" s="41">
        <v>2.0</v>
      </c>
      <c r="M43" s="61" t="s">
        <v>68</v>
      </c>
    </row>
    <row r="44">
      <c r="I44" s="58">
        <f t="shared" si="9"/>
        <v>9</v>
      </c>
      <c r="J44" s="59" t="s">
        <v>72</v>
      </c>
      <c r="K44" s="57"/>
      <c r="L44" s="71">
        <v>8.0</v>
      </c>
      <c r="M44" s="43" t="s">
        <v>68</v>
      </c>
    </row>
    <row r="45">
      <c r="I45" s="58">
        <f t="shared" si="9"/>
        <v>10</v>
      </c>
      <c r="J45" s="59" t="s">
        <v>74</v>
      </c>
      <c r="K45" s="57"/>
      <c r="L45" s="41">
        <v>2.0</v>
      </c>
      <c r="M45" s="61" t="s">
        <v>68</v>
      </c>
    </row>
    <row r="46">
      <c r="I46" s="62">
        <f t="shared" si="9"/>
        <v>11</v>
      </c>
      <c r="J46" s="64" t="s">
        <v>75</v>
      </c>
      <c r="K46" s="57"/>
      <c r="L46" s="71">
        <v>4.0</v>
      </c>
      <c r="M46" s="61" t="s">
        <v>68</v>
      </c>
    </row>
    <row r="47">
      <c r="I47" s="62">
        <f t="shared" si="9"/>
        <v>12</v>
      </c>
      <c r="J47" s="64" t="s">
        <v>76</v>
      </c>
      <c r="K47" s="57"/>
      <c r="L47" s="41">
        <v>0.1</v>
      </c>
      <c r="M47" s="43" t="s">
        <v>96</v>
      </c>
    </row>
    <row r="48">
      <c r="I48" s="62">
        <f t="shared" si="9"/>
        <v>13</v>
      </c>
      <c r="J48" s="64" t="s">
        <v>79</v>
      </c>
      <c r="K48" s="57"/>
      <c r="L48" s="71">
        <v>8.0</v>
      </c>
      <c r="M48" s="43" t="s">
        <v>68</v>
      </c>
    </row>
    <row r="49">
      <c r="I49" s="62">
        <f t="shared" si="9"/>
        <v>14</v>
      </c>
      <c r="J49" s="64" t="s">
        <v>80</v>
      </c>
      <c r="K49" s="57"/>
      <c r="L49" s="71">
        <v>8.0</v>
      </c>
      <c r="M49" s="43" t="s">
        <v>68</v>
      </c>
    </row>
    <row r="50">
      <c r="I50" s="62">
        <f t="shared" si="9"/>
        <v>15</v>
      </c>
      <c r="J50" s="67" t="s">
        <v>130</v>
      </c>
      <c r="K50" s="38" t="s">
        <v>44</v>
      </c>
      <c r="L50" s="98">
        <v>1.0</v>
      </c>
      <c r="M50" s="43" t="s">
        <v>68</v>
      </c>
    </row>
    <row r="51">
      <c r="I51" s="62">
        <f t="shared" si="9"/>
        <v>16</v>
      </c>
      <c r="J51" s="67" t="s">
        <v>158</v>
      </c>
      <c r="K51" s="38" t="s">
        <v>44</v>
      </c>
      <c r="L51" s="71">
        <v>1.0</v>
      </c>
      <c r="M51" s="43" t="s">
        <v>68</v>
      </c>
    </row>
    <row r="52">
      <c r="I52" s="62">
        <f>I50+1</f>
        <v>16</v>
      </c>
      <c r="J52" s="64" t="s">
        <v>159</v>
      </c>
      <c r="K52" s="57"/>
      <c r="L52" s="71">
        <v>1.0</v>
      </c>
      <c r="M52" s="43" t="s">
        <v>68</v>
      </c>
    </row>
    <row r="53">
      <c r="I53" s="62">
        <f t="shared" ref="I53:I55" si="10">I52+1</f>
        <v>17</v>
      </c>
      <c r="J53" s="64" t="s">
        <v>90</v>
      </c>
      <c r="K53" s="57"/>
      <c r="L53" s="71">
        <v>1.0</v>
      </c>
      <c r="M53" s="43" t="s">
        <v>68</v>
      </c>
    </row>
    <row r="54">
      <c r="I54" s="62">
        <f t="shared" si="10"/>
        <v>18</v>
      </c>
      <c r="J54" s="64" t="s">
        <v>92</v>
      </c>
      <c r="K54" s="57"/>
      <c r="L54" s="71">
        <v>1.0</v>
      </c>
      <c r="M54" s="43" t="s">
        <v>68</v>
      </c>
    </row>
    <row r="55">
      <c r="I55" s="62">
        <f t="shared" si="10"/>
        <v>19</v>
      </c>
      <c r="J55" s="64" t="s">
        <v>93</v>
      </c>
      <c r="K55" s="57"/>
      <c r="L55" s="71">
        <v>1.0</v>
      </c>
      <c r="M55" s="43" t="s">
        <v>68</v>
      </c>
    </row>
    <row r="56">
      <c r="I56" s="108">
        <v>21.0</v>
      </c>
      <c r="J56" s="49" t="s">
        <v>123</v>
      </c>
      <c r="K56" s="57"/>
      <c r="L56" s="71">
        <v>1.0</v>
      </c>
      <c r="M56" s="43" t="s">
        <v>68</v>
      </c>
    </row>
    <row r="57">
      <c r="I57" s="107">
        <f t="shared" ref="I57:I61" si="11">I56+1</f>
        <v>22</v>
      </c>
      <c r="J57" s="49" t="s">
        <v>124</v>
      </c>
      <c r="K57" s="57"/>
      <c r="L57" s="71">
        <v>1.0</v>
      </c>
      <c r="M57" s="43" t="s">
        <v>68</v>
      </c>
    </row>
    <row r="58">
      <c r="I58" s="107">
        <f t="shared" si="11"/>
        <v>23</v>
      </c>
      <c r="J58" s="49" t="s">
        <v>125</v>
      </c>
      <c r="K58" s="57"/>
      <c r="L58" s="71">
        <v>1.0</v>
      </c>
      <c r="M58" s="43" t="s">
        <v>68</v>
      </c>
    </row>
    <row r="59">
      <c r="I59" s="107">
        <f t="shared" si="11"/>
        <v>24</v>
      </c>
      <c r="J59" s="49" t="s">
        <v>127</v>
      </c>
      <c r="K59" s="57"/>
      <c r="L59" s="71">
        <v>1.0</v>
      </c>
      <c r="M59" s="43" t="s">
        <v>68</v>
      </c>
    </row>
    <row r="60">
      <c r="I60" s="107">
        <f t="shared" si="11"/>
        <v>25</v>
      </c>
      <c r="J60" s="100" t="s">
        <v>120</v>
      </c>
      <c r="K60" s="57"/>
      <c r="L60" s="71">
        <v>1.0</v>
      </c>
      <c r="M60" s="43" t="s">
        <v>68</v>
      </c>
    </row>
    <row r="61">
      <c r="I61" s="107">
        <f t="shared" si="11"/>
        <v>26</v>
      </c>
      <c r="J61" s="100" t="s">
        <v>117</v>
      </c>
      <c r="K61" s="57"/>
      <c r="L61" s="71">
        <v>1.0</v>
      </c>
      <c r="M61" s="43" t="s">
        <v>68</v>
      </c>
    </row>
    <row r="63">
      <c r="I63" s="8" t="s">
        <v>163</v>
      </c>
      <c r="J63" s="10"/>
      <c r="K63" s="10"/>
      <c r="L63" s="10"/>
      <c r="M63" s="13"/>
    </row>
    <row r="64">
      <c r="I64" s="15" t="s">
        <v>13</v>
      </c>
      <c r="J64" s="17" t="s">
        <v>16</v>
      </c>
      <c r="K64" s="24" t="s">
        <v>23</v>
      </c>
      <c r="L64" s="26" t="s">
        <v>24</v>
      </c>
      <c r="M64" s="28" t="s">
        <v>27</v>
      </c>
    </row>
    <row r="65">
      <c r="I65" s="111">
        <v>1.0</v>
      </c>
      <c r="J65" s="112" t="s">
        <v>28</v>
      </c>
      <c r="K65" s="23"/>
      <c r="L65" s="42">
        <v>1.55</v>
      </c>
      <c r="M65" s="42" t="s">
        <v>96</v>
      </c>
    </row>
    <row r="66">
      <c r="I66" s="19">
        <f t="shared" ref="I66:I69" si="12">I65+1</f>
        <v>2</v>
      </c>
      <c r="J66" s="29" t="s">
        <v>36</v>
      </c>
      <c r="K66" s="38" t="s">
        <v>44</v>
      </c>
      <c r="L66" s="41">
        <f>1/2</f>
        <v>0.5</v>
      </c>
      <c r="M66" s="43" t="s">
        <v>46</v>
      </c>
    </row>
    <row r="67">
      <c r="I67" s="19">
        <f t="shared" si="12"/>
        <v>3</v>
      </c>
      <c r="J67" s="29" t="s">
        <v>150</v>
      </c>
      <c r="K67" s="38" t="s">
        <v>44</v>
      </c>
      <c r="L67" s="51">
        <f>1/4</f>
        <v>0.25</v>
      </c>
      <c r="M67" s="43" t="s">
        <v>96</v>
      </c>
    </row>
    <row r="68">
      <c r="I68" s="50">
        <f t="shared" si="12"/>
        <v>4</v>
      </c>
      <c r="J68" s="49" t="s">
        <v>63</v>
      </c>
      <c r="K68" s="57"/>
      <c r="L68" s="51">
        <f>1/3</f>
        <v>0.3333333333</v>
      </c>
      <c r="M68" s="61" t="s">
        <v>68</v>
      </c>
    </row>
    <row r="69">
      <c r="I69" s="44">
        <f t="shared" si="12"/>
        <v>5</v>
      </c>
      <c r="J69" s="63" t="s">
        <v>154</v>
      </c>
      <c r="K69" s="38" t="s">
        <v>164</v>
      </c>
      <c r="L69" s="65">
        <v>1.0</v>
      </c>
      <c r="M69" s="61" t="s">
        <v>68</v>
      </c>
    </row>
    <row r="70">
      <c r="I70" s="35">
        <v>6.0</v>
      </c>
      <c r="J70" s="48" t="s">
        <v>54</v>
      </c>
      <c r="K70" s="70"/>
      <c r="L70" s="41">
        <v>0.4</v>
      </c>
      <c r="M70" s="61" t="s">
        <v>46</v>
      </c>
    </row>
    <row r="71">
      <c r="I71" s="54">
        <f t="shared" ref="I71:I80" si="13">I70+1</f>
        <v>7</v>
      </c>
      <c r="J71" s="56" t="s">
        <v>67</v>
      </c>
      <c r="K71" s="57"/>
      <c r="L71" s="65">
        <v>1.0</v>
      </c>
      <c r="M71" s="61" t="s">
        <v>68</v>
      </c>
    </row>
    <row r="72">
      <c r="I72" s="54">
        <f t="shared" si="13"/>
        <v>8</v>
      </c>
      <c r="J72" s="56" t="s">
        <v>66</v>
      </c>
      <c r="K72" s="57"/>
      <c r="L72" s="41">
        <v>2.0</v>
      </c>
      <c r="M72" s="61" t="s">
        <v>68</v>
      </c>
    </row>
    <row r="73">
      <c r="I73" s="58">
        <f t="shared" si="13"/>
        <v>9</v>
      </c>
      <c r="J73" s="59" t="s">
        <v>72</v>
      </c>
      <c r="K73" s="57"/>
      <c r="L73" s="71">
        <v>8.0</v>
      </c>
      <c r="M73" s="43" t="s">
        <v>68</v>
      </c>
    </row>
    <row r="74">
      <c r="I74" s="58">
        <f t="shared" si="13"/>
        <v>10</v>
      </c>
      <c r="J74" s="59" t="s">
        <v>74</v>
      </c>
      <c r="K74" s="57"/>
      <c r="L74" s="41">
        <v>2.0</v>
      </c>
      <c r="M74" s="61" t="s">
        <v>68</v>
      </c>
    </row>
    <row r="75">
      <c r="I75" s="62">
        <f t="shared" si="13"/>
        <v>11</v>
      </c>
      <c r="J75" s="64" t="s">
        <v>75</v>
      </c>
      <c r="K75" s="57"/>
      <c r="L75" s="71">
        <v>4.0</v>
      </c>
      <c r="M75" s="61" t="s">
        <v>68</v>
      </c>
    </row>
    <row r="76">
      <c r="I76" s="62">
        <f t="shared" si="13"/>
        <v>12</v>
      </c>
      <c r="J76" s="64" t="s">
        <v>76</v>
      </c>
      <c r="K76" s="57"/>
      <c r="L76" s="41">
        <v>0.1</v>
      </c>
      <c r="M76" s="43" t="s">
        <v>96</v>
      </c>
    </row>
    <row r="77">
      <c r="I77" s="62">
        <f t="shared" si="13"/>
        <v>13</v>
      </c>
      <c r="J77" s="64" t="s">
        <v>79</v>
      </c>
      <c r="K77" s="57"/>
      <c r="L77" s="71">
        <v>8.0</v>
      </c>
      <c r="M77" s="43" t="s">
        <v>68</v>
      </c>
    </row>
    <row r="78">
      <c r="I78" s="62">
        <f t="shared" si="13"/>
        <v>14</v>
      </c>
      <c r="J78" s="64" t="s">
        <v>80</v>
      </c>
      <c r="K78" s="57"/>
      <c r="L78" s="71">
        <v>8.0</v>
      </c>
      <c r="M78" s="43" t="s">
        <v>68</v>
      </c>
    </row>
    <row r="79">
      <c r="I79" s="62">
        <f t="shared" si="13"/>
        <v>15</v>
      </c>
      <c r="J79" s="67" t="s">
        <v>130</v>
      </c>
      <c r="K79" s="38" t="s">
        <v>44</v>
      </c>
      <c r="L79" s="98">
        <v>1.0</v>
      </c>
      <c r="M79" s="43" t="s">
        <v>68</v>
      </c>
    </row>
    <row r="80">
      <c r="I80" s="62">
        <f t="shared" si="13"/>
        <v>16</v>
      </c>
      <c r="J80" s="67" t="s">
        <v>158</v>
      </c>
      <c r="K80" s="38" t="s">
        <v>44</v>
      </c>
      <c r="L80" s="71">
        <v>1.0</v>
      </c>
      <c r="M80" s="43" t="s">
        <v>68</v>
      </c>
    </row>
    <row r="81">
      <c r="I81" s="62">
        <f>I79+1</f>
        <v>16</v>
      </c>
      <c r="J81" s="64" t="s">
        <v>159</v>
      </c>
      <c r="K81" s="57"/>
      <c r="L81" s="71">
        <v>1.0</v>
      </c>
      <c r="M81" s="43" t="s">
        <v>68</v>
      </c>
    </row>
    <row r="82">
      <c r="I82" s="62">
        <f t="shared" ref="I82:I84" si="14">I81+1</f>
        <v>17</v>
      </c>
      <c r="J82" s="64" t="s">
        <v>90</v>
      </c>
      <c r="K82" s="57"/>
      <c r="L82" s="71">
        <v>1.0</v>
      </c>
      <c r="M82" s="43" t="s">
        <v>68</v>
      </c>
    </row>
    <row r="83">
      <c r="I83" s="62">
        <f t="shared" si="14"/>
        <v>18</v>
      </c>
      <c r="J83" s="64" t="s">
        <v>92</v>
      </c>
      <c r="K83" s="57"/>
      <c r="L83" s="71">
        <v>1.0</v>
      </c>
      <c r="M83" s="43" t="s">
        <v>68</v>
      </c>
    </row>
    <row r="84">
      <c r="I84" s="62">
        <f t="shared" si="14"/>
        <v>19</v>
      </c>
      <c r="J84" s="64" t="s">
        <v>93</v>
      </c>
      <c r="K84" s="57"/>
      <c r="L84" s="71">
        <v>1.0</v>
      </c>
      <c r="M84" s="43" t="s">
        <v>68</v>
      </c>
    </row>
    <row r="85">
      <c r="I85" s="108">
        <v>21.0</v>
      </c>
      <c r="J85" s="49" t="s">
        <v>123</v>
      </c>
      <c r="K85" s="57"/>
      <c r="L85" s="71">
        <v>1.0</v>
      </c>
      <c r="M85" s="43" t="s">
        <v>68</v>
      </c>
    </row>
    <row r="86">
      <c r="I86" s="107">
        <f t="shared" ref="I86:I90" si="15">I85+1</f>
        <v>22</v>
      </c>
      <c r="J86" s="49" t="s">
        <v>124</v>
      </c>
      <c r="K86" s="57"/>
      <c r="L86" s="71">
        <v>1.0</v>
      </c>
      <c r="M86" s="43" t="s">
        <v>68</v>
      </c>
    </row>
    <row r="87">
      <c r="I87" s="107">
        <f t="shared" si="15"/>
        <v>23</v>
      </c>
      <c r="J87" s="49" t="s">
        <v>125</v>
      </c>
      <c r="K87" s="57"/>
      <c r="L87" s="71">
        <v>1.0</v>
      </c>
      <c r="M87" s="43" t="s">
        <v>68</v>
      </c>
    </row>
    <row r="88">
      <c r="I88" s="107">
        <f t="shared" si="15"/>
        <v>24</v>
      </c>
      <c r="J88" s="49" t="s">
        <v>127</v>
      </c>
      <c r="K88" s="57"/>
      <c r="L88" s="71">
        <v>1.0</v>
      </c>
      <c r="M88" s="43" t="s">
        <v>68</v>
      </c>
    </row>
    <row r="89">
      <c r="I89" s="107">
        <f t="shared" si="15"/>
        <v>25</v>
      </c>
      <c r="J89" s="100" t="s">
        <v>120</v>
      </c>
      <c r="K89" s="57"/>
      <c r="L89" s="71">
        <v>1.0</v>
      </c>
      <c r="M89" s="43" t="s">
        <v>68</v>
      </c>
    </row>
    <row r="90">
      <c r="I90" s="107">
        <f t="shared" si="15"/>
        <v>26</v>
      </c>
      <c r="J90" s="100" t="s">
        <v>117</v>
      </c>
      <c r="K90" s="57"/>
      <c r="L90" s="71">
        <v>1.0</v>
      </c>
      <c r="M90" s="43" t="s">
        <v>68</v>
      </c>
    </row>
    <row r="92">
      <c r="I92" s="8" t="s">
        <v>165</v>
      </c>
      <c r="J92" s="10"/>
      <c r="K92" s="10"/>
      <c r="L92" s="10"/>
      <c r="M92" s="13"/>
    </row>
    <row r="93">
      <c r="I93" s="15" t="s">
        <v>13</v>
      </c>
      <c r="J93" s="17" t="s">
        <v>16</v>
      </c>
      <c r="K93" s="24" t="s">
        <v>23</v>
      </c>
      <c r="L93" s="26" t="s">
        <v>24</v>
      </c>
      <c r="M93" s="28" t="s">
        <v>27</v>
      </c>
    </row>
    <row r="94">
      <c r="I94" s="111">
        <v>1.0</v>
      </c>
      <c r="J94" s="112" t="s">
        <v>28</v>
      </c>
      <c r="K94" s="23"/>
      <c r="L94" s="42">
        <v>1.65</v>
      </c>
      <c r="M94" s="42" t="s">
        <v>96</v>
      </c>
    </row>
    <row r="95">
      <c r="I95" s="19">
        <f t="shared" ref="I95:I98" si="16">I94+1</f>
        <v>2</v>
      </c>
      <c r="J95" s="29" t="s">
        <v>36</v>
      </c>
      <c r="K95" s="38" t="s">
        <v>44</v>
      </c>
      <c r="L95" s="41">
        <f>1/2</f>
        <v>0.5</v>
      </c>
      <c r="M95" s="43" t="s">
        <v>46</v>
      </c>
    </row>
    <row r="96">
      <c r="I96" s="19">
        <f t="shared" si="16"/>
        <v>3</v>
      </c>
      <c r="J96" s="29" t="s">
        <v>150</v>
      </c>
      <c r="K96" s="38" t="s">
        <v>44</v>
      </c>
      <c r="L96" s="51">
        <f>1/4</f>
        <v>0.25</v>
      </c>
      <c r="M96" s="43" t="s">
        <v>96</v>
      </c>
    </row>
    <row r="97">
      <c r="I97" s="50">
        <f t="shared" si="16"/>
        <v>4</v>
      </c>
      <c r="J97" s="49" t="s">
        <v>63</v>
      </c>
      <c r="K97" s="57"/>
      <c r="L97" s="51">
        <f>1/3</f>
        <v>0.3333333333</v>
      </c>
      <c r="M97" s="61" t="s">
        <v>68</v>
      </c>
    </row>
    <row r="98">
      <c r="I98" s="44">
        <f t="shared" si="16"/>
        <v>5</v>
      </c>
      <c r="J98" s="63" t="s">
        <v>154</v>
      </c>
      <c r="K98" s="38" t="s">
        <v>164</v>
      </c>
      <c r="L98" s="65">
        <v>1.0</v>
      </c>
      <c r="M98" s="61" t="s">
        <v>68</v>
      </c>
    </row>
    <row r="99">
      <c r="I99" s="35">
        <v>6.0</v>
      </c>
      <c r="J99" s="48" t="s">
        <v>54</v>
      </c>
      <c r="K99" s="70"/>
      <c r="L99" s="41">
        <v>0.4</v>
      </c>
      <c r="M99" s="61" t="s">
        <v>46</v>
      </c>
    </row>
    <row r="100">
      <c r="I100" s="54">
        <f t="shared" ref="I100:I109" si="17">I99+1</f>
        <v>7</v>
      </c>
      <c r="J100" s="56" t="s">
        <v>67</v>
      </c>
      <c r="K100" s="57"/>
      <c r="L100" s="65">
        <v>1.0</v>
      </c>
      <c r="M100" s="61" t="s">
        <v>68</v>
      </c>
    </row>
    <row r="101">
      <c r="I101" s="54">
        <f t="shared" si="17"/>
        <v>8</v>
      </c>
      <c r="J101" s="56" t="s">
        <v>66</v>
      </c>
      <c r="K101" s="57"/>
      <c r="L101" s="41">
        <v>2.0</v>
      </c>
      <c r="M101" s="61" t="s">
        <v>68</v>
      </c>
    </row>
    <row r="102">
      <c r="I102" s="58">
        <f t="shared" si="17"/>
        <v>9</v>
      </c>
      <c r="J102" s="59" t="s">
        <v>72</v>
      </c>
      <c r="K102" s="57"/>
      <c r="L102" s="71">
        <v>8.0</v>
      </c>
      <c r="M102" s="43" t="s">
        <v>68</v>
      </c>
    </row>
    <row r="103">
      <c r="I103" s="58">
        <f t="shared" si="17"/>
        <v>10</v>
      </c>
      <c r="J103" s="59" t="s">
        <v>74</v>
      </c>
      <c r="K103" s="57"/>
      <c r="L103" s="41">
        <v>2.0</v>
      </c>
      <c r="M103" s="61" t="s">
        <v>68</v>
      </c>
    </row>
    <row r="104">
      <c r="I104" s="62">
        <f t="shared" si="17"/>
        <v>11</v>
      </c>
      <c r="J104" s="64" t="s">
        <v>75</v>
      </c>
      <c r="K104" s="57"/>
      <c r="L104" s="71">
        <v>4.0</v>
      </c>
      <c r="M104" s="61" t="s">
        <v>68</v>
      </c>
    </row>
    <row r="105">
      <c r="I105" s="62">
        <f t="shared" si="17"/>
        <v>12</v>
      </c>
      <c r="J105" s="64" t="s">
        <v>76</v>
      </c>
      <c r="K105" s="57"/>
      <c r="L105" s="41">
        <v>0.1</v>
      </c>
      <c r="M105" s="43" t="s">
        <v>96</v>
      </c>
    </row>
    <row r="106">
      <c r="I106" s="62">
        <f t="shared" si="17"/>
        <v>13</v>
      </c>
      <c r="J106" s="64" t="s">
        <v>79</v>
      </c>
      <c r="K106" s="57"/>
      <c r="L106" s="71">
        <v>8.0</v>
      </c>
      <c r="M106" s="43" t="s">
        <v>68</v>
      </c>
    </row>
    <row r="107">
      <c r="I107" s="62">
        <f t="shared" si="17"/>
        <v>14</v>
      </c>
      <c r="J107" s="64" t="s">
        <v>80</v>
      </c>
      <c r="K107" s="57"/>
      <c r="L107" s="71">
        <v>8.0</v>
      </c>
      <c r="M107" s="43" t="s">
        <v>68</v>
      </c>
    </row>
    <row r="108">
      <c r="I108" s="62">
        <f t="shared" si="17"/>
        <v>15</v>
      </c>
      <c r="J108" s="67" t="s">
        <v>130</v>
      </c>
      <c r="K108" s="38" t="s">
        <v>44</v>
      </c>
      <c r="L108" s="98">
        <v>1.0</v>
      </c>
      <c r="M108" s="43" t="s">
        <v>68</v>
      </c>
    </row>
    <row r="109">
      <c r="I109" s="62">
        <f t="shared" si="17"/>
        <v>16</v>
      </c>
      <c r="J109" s="67" t="s">
        <v>158</v>
      </c>
      <c r="K109" s="38" t="s">
        <v>44</v>
      </c>
      <c r="L109" s="71">
        <v>1.0</v>
      </c>
      <c r="M109" s="43" t="s">
        <v>68</v>
      </c>
    </row>
    <row r="110">
      <c r="I110" s="62">
        <f>I108+1</f>
        <v>16</v>
      </c>
      <c r="J110" s="64" t="s">
        <v>159</v>
      </c>
      <c r="K110" s="57"/>
      <c r="L110" s="71">
        <v>1.0</v>
      </c>
      <c r="M110" s="43" t="s">
        <v>68</v>
      </c>
    </row>
    <row r="111">
      <c r="I111" s="62">
        <f t="shared" ref="I111:I113" si="18">I110+1</f>
        <v>17</v>
      </c>
      <c r="J111" s="64" t="s">
        <v>90</v>
      </c>
      <c r="K111" s="57"/>
      <c r="L111" s="71">
        <v>1.0</v>
      </c>
      <c r="M111" s="43" t="s">
        <v>68</v>
      </c>
    </row>
    <row r="112">
      <c r="I112" s="62">
        <f t="shared" si="18"/>
        <v>18</v>
      </c>
      <c r="J112" s="64" t="s">
        <v>92</v>
      </c>
      <c r="K112" s="57"/>
      <c r="L112" s="71">
        <v>1.0</v>
      </c>
      <c r="M112" s="43" t="s">
        <v>68</v>
      </c>
    </row>
    <row r="113">
      <c r="I113" s="62">
        <f t="shared" si="18"/>
        <v>19</v>
      </c>
      <c r="J113" s="64" t="s">
        <v>93</v>
      </c>
      <c r="K113" s="57"/>
      <c r="L113" s="71">
        <v>1.0</v>
      </c>
      <c r="M113" s="43" t="s">
        <v>68</v>
      </c>
    </row>
    <row r="114">
      <c r="I114" s="108">
        <v>21.0</v>
      </c>
      <c r="J114" s="49" t="s">
        <v>123</v>
      </c>
      <c r="K114" s="57"/>
      <c r="L114" s="71">
        <v>1.0</v>
      </c>
      <c r="M114" s="43" t="s">
        <v>68</v>
      </c>
    </row>
    <row r="115">
      <c r="I115" s="107">
        <f t="shared" ref="I115:I119" si="19">I114+1</f>
        <v>22</v>
      </c>
      <c r="J115" s="49" t="s">
        <v>124</v>
      </c>
      <c r="K115" s="57"/>
      <c r="L115" s="71">
        <v>1.0</v>
      </c>
      <c r="M115" s="43" t="s">
        <v>68</v>
      </c>
    </row>
    <row r="116">
      <c r="I116" s="107">
        <f t="shared" si="19"/>
        <v>23</v>
      </c>
      <c r="J116" s="49" t="s">
        <v>125</v>
      </c>
      <c r="K116" s="57"/>
      <c r="L116" s="71">
        <v>1.0</v>
      </c>
      <c r="M116" s="43" t="s">
        <v>68</v>
      </c>
    </row>
    <row r="117">
      <c r="I117" s="107">
        <f t="shared" si="19"/>
        <v>24</v>
      </c>
      <c r="J117" s="49" t="s">
        <v>127</v>
      </c>
      <c r="K117" s="57"/>
      <c r="L117" s="71">
        <v>1.0</v>
      </c>
      <c r="M117" s="43" t="s">
        <v>68</v>
      </c>
    </row>
    <row r="118">
      <c r="I118" s="107">
        <f t="shared" si="19"/>
        <v>25</v>
      </c>
      <c r="J118" s="100" t="s">
        <v>120</v>
      </c>
      <c r="K118" s="57"/>
      <c r="L118" s="71">
        <v>1.0</v>
      </c>
      <c r="M118" s="43" t="s">
        <v>68</v>
      </c>
    </row>
    <row r="119">
      <c r="I119" s="107">
        <f t="shared" si="19"/>
        <v>26</v>
      </c>
      <c r="J119" s="100" t="s">
        <v>117</v>
      </c>
      <c r="K119" s="57"/>
      <c r="L119" s="71">
        <v>1.0</v>
      </c>
      <c r="M119" s="43" t="s">
        <v>68</v>
      </c>
    </row>
    <row r="122">
      <c r="I122" s="8" t="s">
        <v>169</v>
      </c>
      <c r="J122" s="10"/>
      <c r="K122" s="10"/>
      <c r="L122" s="10"/>
      <c r="M122" s="13"/>
    </row>
    <row r="123">
      <c r="I123" s="15" t="s">
        <v>13</v>
      </c>
      <c r="J123" s="17" t="s">
        <v>16</v>
      </c>
      <c r="K123" s="24" t="s">
        <v>23</v>
      </c>
      <c r="L123" s="26" t="s">
        <v>24</v>
      </c>
      <c r="M123" s="28" t="s">
        <v>27</v>
      </c>
    </row>
    <row r="124">
      <c r="I124" s="111">
        <v>1.0</v>
      </c>
      <c r="J124" s="112" t="s">
        <v>28</v>
      </c>
      <c r="K124" s="23"/>
      <c r="L124" s="42">
        <v>1.7</v>
      </c>
      <c r="M124" s="42" t="s">
        <v>96</v>
      </c>
    </row>
    <row r="125">
      <c r="I125" s="19">
        <f t="shared" ref="I125:I128" si="20">I124+1</f>
        <v>2</v>
      </c>
      <c r="J125" s="29" t="s">
        <v>36</v>
      </c>
      <c r="K125" s="38" t="s">
        <v>44</v>
      </c>
      <c r="L125" s="41">
        <f>1/2</f>
        <v>0.5</v>
      </c>
      <c r="M125" s="43" t="s">
        <v>46</v>
      </c>
    </row>
    <row r="126">
      <c r="I126" s="19">
        <f t="shared" si="20"/>
        <v>3</v>
      </c>
      <c r="J126" s="29" t="s">
        <v>150</v>
      </c>
      <c r="K126" s="38" t="s">
        <v>44</v>
      </c>
      <c r="L126" s="51">
        <f>1/4</f>
        <v>0.25</v>
      </c>
      <c r="M126" s="43" t="s">
        <v>96</v>
      </c>
    </row>
    <row r="127">
      <c r="I127" s="50">
        <f t="shared" si="20"/>
        <v>4</v>
      </c>
      <c r="J127" s="49" t="s">
        <v>63</v>
      </c>
      <c r="K127" s="57"/>
      <c r="L127" s="51">
        <f>1/3</f>
        <v>0.3333333333</v>
      </c>
      <c r="M127" s="61" t="s">
        <v>68</v>
      </c>
    </row>
    <row r="128">
      <c r="I128" s="44">
        <f t="shared" si="20"/>
        <v>5</v>
      </c>
      <c r="J128" s="63" t="s">
        <v>154</v>
      </c>
      <c r="K128" s="38" t="s">
        <v>171</v>
      </c>
      <c r="L128" s="65">
        <v>1.0</v>
      </c>
      <c r="M128" s="61" t="s">
        <v>68</v>
      </c>
    </row>
    <row r="129">
      <c r="I129" s="35">
        <v>6.0</v>
      </c>
      <c r="J129" s="48" t="s">
        <v>54</v>
      </c>
      <c r="K129" s="70"/>
      <c r="L129" s="41">
        <v>0.4</v>
      </c>
      <c r="M129" s="61" t="s">
        <v>46</v>
      </c>
    </row>
    <row r="130">
      <c r="I130" s="54">
        <f t="shared" ref="I130:I139" si="21">I129+1</f>
        <v>7</v>
      </c>
      <c r="J130" s="56" t="s">
        <v>67</v>
      </c>
      <c r="K130" s="57"/>
      <c r="L130" s="65">
        <v>1.0</v>
      </c>
      <c r="M130" s="61" t="s">
        <v>68</v>
      </c>
    </row>
    <row r="131">
      <c r="I131" s="54">
        <f t="shared" si="21"/>
        <v>8</v>
      </c>
      <c r="J131" s="56" t="s">
        <v>66</v>
      </c>
      <c r="K131" s="57"/>
      <c r="L131" s="41">
        <v>2.0</v>
      </c>
      <c r="M131" s="61" t="s">
        <v>68</v>
      </c>
    </row>
    <row r="132">
      <c r="I132" s="58">
        <f t="shared" si="21"/>
        <v>9</v>
      </c>
      <c r="J132" s="59" t="s">
        <v>72</v>
      </c>
      <c r="K132" s="57"/>
      <c r="L132" s="71">
        <v>8.0</v>
      </c>
      <c r="M132" s="43" t="s">
        <v>68</v>
      </c>
    </row>
    <row r="133">
      <c r="I133" s="58">
        <f t="shared" si="21"/>
        <v>10</v>
      </c>
      <c r="J133" s="59" t="s">
        <v>74</v>
      </c>
      <c r="K133" s="57"/>
      <c r="L133" s="41">
        <v>2.0</v>
      </c>
      <c r="M133" s="61" t="s">
        <v>68</v>
      </c>
    </row>
    <row r="134">
      <c r="I134" s="62">
        <f t="shared" si="21"/>
        <v>11</v>
      </c>
      <c r="J134" s="64" t="s">
        <v>75</v>
      </c>
      <c r="K134" s="57"/>
      <c r="L134" s="71">
        <v>4.0</v>
      </c>
      <c r="M134" s="61" t="s">
        <v>68</v>
      </c>
    </row>
    <row r="135">
      <c r="I135" s="62">
        <f t="shared" si="21"/>
        <v>12</v>
      </c>
      <c r="J135" s="64" t="s">
        <v>76</v>
      </c>
      <c r="K135" s="57"/>
      <c r="L135" s="41">
        <v>0.1</v>
      </c>
      <c r="M135" s="43" t="s">
        <v>96</v>
      </c>
    </row>
    <row r="136">
      <c r="I136" s="62">
        <f t="shared" si="21"/>
        <v>13</v>
      </c>
      <c r="J136" s="64" t="s">
        <v>79</v>
      </c>
      <c r="K136" s="57"/>
      <c r="L136" s="71">
        <v>8.0</v>
      </c>
      <c r="M136" s="43" t="s">
        <v>68</v>
      </c>
    </row>
    <row r="137">
      <c r="I137" s="62">
        <f t="shared" si="21"/>
        <v>14</v>
      </c>
      <c r="J137" s="64" t="s">
        <v>80</v>
      </c>
      <c r="K137" s="57"/>
      <c r="L137" s="71">
        <v>8.0</v>
      </c>
      <c r="M137" s="43" t="s">
        <v>68</v>
      </c>
    </row>
    <row r="138">
      <c r="I138" s="62">
        <f t="shared" si="21"/>
        <v>15</v>
      </c>
      <c r="J138" s="67" t="s">
        <v>130</v>
      </c>
      <c r="K138" s="38" t="s">
        <v>44</v>
      </c>
      <c r="L138" s="98">
        <v>1.0</v>
      </c>
      <c r="M138" s="43" t="s">
        <v>68</v>
      </c>
    </row>
    <row r="139">
      <c r="I139" s="62">
        <f t="shared" si="21"/>
        <v>16</v>
      </c>
      <c r="J139" s="67" t="s">
        <v>158</v>
      </c>
      <c r="K139" s="38" t="s">
        <v>44</v>
      </c>
      <c r="L139" s="71">
        <v>1.0</v>
      </c>
      <c r="M139" s="43" t="s">
        <v>68</v>
      </c>
    </row>
    <row r="140">
      <c r="I140" s="62">
        <f>I138+1</f>
        <v>16</v>
      </c>
      <c r="J140" s="64" t="s">
        <v>159</v>
      </c>
      <c r="K140" s="57"/>
      <c r="L140" s="71">
        <v>1.0</v>
      </c>
      <c r="M140" s="43" t="s">
        <v>68</v>
      </c>
    </row>
    <row r="141">
      <c r="I141" s="62">
        <f t="shared" ref="I141:I143" si="22">I140+1</f>
        <v>17</v>
      </c>
      <c r="J141" s="64" t="s">
        <v>90</v>
      </c>
      <c r="K141" s="57"/>
      <c r="L141" s="71">
        <v>1.0</v>
      </c>
      <c r="M141" s="43" t="s">
        <v>68</v>
      </c>
    </row>
    <row r="142">
      <c r="I142" s="62">
        <f t="shared" si="22"/>
        <v>18</v>
      </c>
      <c r="J142" s="64" t="s">
        <v>92</v>
      </c>
      <c r="K142" s="57"/>
      <c r="L142" s="71">
        <v>1.0</v>
      </c>
      <c r="M142" s="43" t="s">
        <v>68</v>
      </c>
    </row>
    <row r="143">
      <c r="I143" s="62">
        <f t="shared" si="22"/>
        <v>19</v>
      </c>
      <c r="J143" s="64" t="s">
        <v>93</v>
      </c>
      <c r="K143" s="57"/>
      <c r="L143" s="71">
        <v>1.0</v>
      </c>
      <c r="M143" s="43" t="s">
        <v>68</v>
      </c>
    </row>
    <row r="144">
      <c r="I144" s="108">
        <v>21.0</v>
      </c>
      <c r="J144" s="49" t="s">
        <v>123</v>
      </c>
      <c r="K144" s="57"/>
      <c r="L144" s="71">
        <v>1.0</v>
      </c>
      <c r="M144" s="43" t="s">
        <v>68</v>
      </c>
    </row>
    <row r="145">
      <c r="I145" s="107">
        <f t="shared" ref="I145:I149" si="23">I144+1</f>
        <v>22</v>
      </c>
      <c r="J145" s="49" t="s">
        <v>124</v>
      </c>
      <c r="K145" s="57"/>
      <c r="L145" s="71">
        <v>1.0</v>
      </c>
      <c r="M145" s="43" t="s">
        <v>68</v>
      </c>
    </row>
    <row r="146">
      <c r="I146" s="107">
        <f t="shared" si="23"/>
        <v>23</v>
      </c>
      <c r="J146" s="49" t="s">
        <v>125</v>
      </c>
      <c r="K146" s="57"/>
      <c r="L146" s="71">
        <v>1.0</v>
      </c>
      <c r="M146" s="43" t="s">
        <v>68</v>
      </c>
    </row>
    <row r="147">
      <c r="I147" s="107">
        <f t="shared" si="23"/>
        <v>24</v>
      </c>
      <c r="J147" s="49" t="s">
        <v>127</v>
      </c>
      <c r="K147" s="57"/>
      <c r="L147" s="71">
        <v>1.0</v>
      </c>
      <c r="M147" s="43" t="s">
        <v>68</v>
      </c>
    </row>
    <row r="148">
      <c r="I148" s="107">
        <f t="shared" si="23"/>
        <v>25</v>
      </c>
      <c r="J148" s="100" t="s">
        <v>120</v>
      </c>
      <c r="K148" s="57"/>
      <c r="L148" s="71">
        <v>1.0</v>
      </c>
      <c r="M148" s="43" t="s">
        <v>68</v>
      </c>
    </row>
    <row r="149">
      <c r="I149" s="107">
        <f t="shared" si="23"/>
        <v>26</v>
      </c>
      <c r="J149" s="100" t="s">
        <v>117</v>
      </c>
      <c r="K149" s="57"/>
      <c r="L149" s="71">
        <v>1.0</v>
      </c>
      <c r="M149" s="43" t="s">
        <v>68</v>
      </c>
    </row>
  </sheetData>
  <mergeCells count="36">
    <mergeCell ref="A1:I1"/>
    <mergeCell ref="A4:F4"/>
    <mergeCell ref="I4:M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30:E30"/>
    <mergeCell ref="C31:E31"/>
    <mergeCell ref="C32:E32"/>
    <mergeCell ref="C33:E33"/>
    <mergeCell ref="I34:M34"/>
    <mergeCell ref="I63:M63"/>
    <mergeCell ref="I92:M92"/>
    <mergeCell ref="I122:M122"/>
    <mergeCell ref="C23:E23"/>
    <mergeCell ref="C24:E24"/>
    <mergeCell ref="C25:E25"/>
    <mergeCell ref="C26:E26"/>
    <mergeCell ref="C27:E27"/>
    <mergeCell ref="C28:E28"/>
    <mergeCell ref="C29:E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3.38"/>
    <col customWidth="1" min="5" max="5" width="14.38"/>
    <col customWidth="1" min="8" max="8" width="6.25"/>
    <col customWidth="1" min="9" max="9" width="34.25"/>
  </cols>
  <sheetData>
    <row r="1">
      <c r="A1" s="119" t="s">
        <v>166</v>
      </c>
    </row>
    <row r="3">
      <c r="A3" s="4" t="s">
        <v>167</v>
      </c>
      <c r="H3" s="8" t="s">
        <v>168</v>
      </c>
      <c r="I3" s="10"/>
      <c r="J3" s="10"/>
      <c r="K3" s="10"/>
      <c r="L3" s="13"/>
      <c r="N3" s="30" t="s">
        <v>29</v>
      </c>
    </row>
    <row r="4">
      <c r="A4" s="15" t="s">
        <v>13</v>
      </c>
      <c r="B4" s="17" t="s">
        <v>16</v>
      </c>
      <c r="C4" s="20" t="s">
        <v>18</v>
      </c>
      <c r="D4" s="10"/>
      <c r="E4" s="13"/>
      <c r="F4" s="18" t="s">
        <v>22</v>
      </c>
      <c r="H4" s="15" t="s">
        <v>13</v>
      </c>
      <c r="I4" s="17" t="s">
        <v>16</v>
      </c>
      <c r="J4" s="24" t="s">
        <v>23</v>
      </c>
      <c r="K4" s="26" t="s">
        <v>24</v>
      </c>
      <c r="L4" s="28" t="s">
        <v>27</v>
      </c>
    </row>
    <row r="5">
      <c r="A5" s="31">
        <v>1.0</v>
      </c>
      <c r="B5" s="32" t="s">
        <v>20</v>
      </c>
      <c r="C5" s="33" t="s">
        <v>170</v>
      </c>
      <c r="D5" s="10"/>
      <c r="E5" s="13"/>
      <c r="F5" s="36" t="s">
        <v>42</v>
      </c>
      <c r="H5" s="31">
        <v>1.0</v>
      </c>
      <c r="I5" s="32" t="s">
        <v>20</v>
      </c>
      <c r="J5" s="38" t="s">
        <v>44</v>
      </c>
      <c r="K5" s="41">
        <v>1.7</v>
      </c>
      <c r="L5" s="43" t="s">
        <v>46</v>
      </c>
    </row>
    <row r="6">
      <c r="A6" s="31">
        <f t="shared" ref="A6:A17" si="1">A5+1</f>
        <v>2</v>
      </c>
      <c r="B6" s="32" t="s">
        <v>47</v>
      </c>
      <c r="C6" s="33" t="s">
        <v>50</v>
      </c>
      <c r="D6" s="10"/>
      <c r="E6" s="13"/>
      <c r="F6" s="36" t="s">
        <v>42</v>
      </c>
      <c r="H6" s="31">
        <f t="shared" ref="H6:H8" si="2">H5+1</f>
        <v>2</v>
      </c>
      <c r="I6" s="32" t="s">
        <v>47</v>
      </c>
      <c r="J6" s="38" t="s">
        <v>44</v>
      </c>
      <c r="K6" s="51">
        <f>25/110</f>
        <v>0.2272727273</v>
      </c>
      <c r="L6" s="53" t="s">
        <v>62</v>
      </c>
    </row>
    <row r="7">
      <c r="A7" s="52">
        <f t="shared" si="1"/>
        <v>3</v>
      </c>
      <c r="B7" s="55" t="s">
        <v>63</v>
      </c>
      <c r="C7" s="33" t="s">
        <v>170</v>
      </c>
      <c r="D7" s="10"/>
      <c r="E7" s="13"/>
      <c r="F7" s="36" t="s">
        <v>42</v>
      </c>
      <c r="H7" s="52">
        <f t="shared" si="2"/>
        <v>3</v>
      </c>
      <c r="I7" s="55" t="s">
        <v>63</v>
      </c>
      <c r="J7" s="57"/>
      <c r="K7" s="51">
        <f>1/3</f>
        <v>0.3333333333</v>
      </c>
      <c r="L7" s="61" t="s">
        <v>68</v>
      </c>
    </row>
    <row r="8">
      <c r="A8" s="60">
        <f t="shared" si="1"/>
        <v>4</v>
      </c>
      <c r="B8" s="63" t="s">
        <v>82</v>
      </c>
      <c r="C8" s="33" t="s">
        <v>85</v>
      </c>
      <c r="D8" s="10"/>
      <c r="E8" s="13"/>
      <c r="F8" s="36" t="s">
        <v>42</v>
      </c>
      <c r="H8" s="60">
        <f t="shared" si="2"/>
        <v>4</v>
      </c>
      <c r="I8" s="63" t="s">
        <v>77</v>
      </c>
      <c r="J8" s="38" t="s">
        <v>78</v>
      </c>
      <c r="K8" s="65">
        <v>1.0</v>
      </c>
      <c r="L8" s="61" t="s">
        <v>68</v>
      </c>
    </row>
    <row r="9">
      <c r="A9" s="60">
        <f t="shared" si="1"/>
        <v>5</v>
      </c>
      <c r="B9" s="37" t="s">
        <v>48</v>
      </c>
      <c r="C9" s="33" t="s">
        <v>51</v>
      </c>
      <c r="D9" s="10"/>
      <c r="E9" s="13"/>
      <c r="F9" s="36" t="s">
        <v>42</v>
      </c>
      <c r="H9" s="66">
        <v>5.0</v>
      </c>
      <c r="I9" s="76" t="s">
        <v>97</v>
      </c>
      <c r="J9" s="70"/>
      <c r="K9" s="65">
        <v>1.0</v>
      </c>
      <c r="L9" s="61" t="s">
        <v>68</v>
      </c>
    </row>
    <row r="10">
      <c r="A10" s="60">
        <f t="shared" si="1"/>
        <v>6</v>
      </c>
      <c r="B10" s="37" t="s">
        <v>52</v>
      </c>
      <c r="C10" s="33" t="s">
        <v>87</v>
      </c>
      <c r="D10" s="10"/>
      <c r="E10" s="13"/>
      <c r="F10" s="36" t="s">
        <v>42</v>
      </c>
      <c r="H10" s="73">
        <f t="shared" ref="H10:H24" si="3">H9+1</f>
        <v>6</v>
      </c>
      <c r="I10" s="74" t="s">
        <v>64</v>
      </c>
      <c r="J10" s="57"/>
      <c r="K10" s="65">
        <v>1.0</v>
      </c>
      <c r="L10" s="61" t="s">
        <v>68</v>
      </c>
    </row>
    <row r="11">
      <c r="A11" s="60">
        <f t="shared" si="1"/>
        <v>7</v>
      </c>
      <c r="B11" s="76" t="s">
        <v>172</v>
      </c>
      <c r="C11" s="33"/>
      <c r="D11" s="10"/>
      <c r="E11" s="13"/>
      <c r="F11" s="36" t="s">
        <v>42</v>
      </c>
      <c r="H11" s="89">
        <f t="shared" si="3"/>
        <v>7</v>
      </c>
      <c r="I11" s="120" t="s">
        <v>72</v>
      </c>
      <c r="J11" s="57"/>
      <c r="K11" s="71">
        <v>4.0</v>
      </c>
      <c r="L11" s="61" t="s">
        <v>68</v>
      </c>
    </row>
    <row r="12">
      <c r="A12" s="73">
        <f t="shared" si="1"/>
        <v>8</v>
      </c>
      <c r="B12" s="74" t="s">
        <v>64</v>
      </c>
      <c r="C12" s="33"/>
      <c r="D12" s="10"/>
      <c r="E12" s="13"/>
      <c r="F12" s="36" t="s">
        <v>42</v>
      </c>
      <c r="H12" s="89">
        <f t="shared" si="3"/>
        <v>8</v>
      </c>
      <c r="I12" s="80" t="s">
        <v>69</v>
      </c>
      <c r="J12" s="57"/>
      <c r="K12" s="41">
        <v>0.16</v>
      </c>
      <c r="L12" s="61" t="s">
        <v>96</v>
      </c>
    </row>
    <row r="13">
      <c r="A13" s="89">
        <f t="shared" si="1"/>
        <v>9</v>
      </c>
      <c r="B13" s="120" t="s">
        <v>72</v>
      </c>
      <c r="C13" s="33"/>
      <c r="D13" s="10"/>
      <c r="E13" s="13"/>
      <c r="F13" s="36" t="s">
        <v>42</v>
      </c>
      <c r="H13" s="89">
        <f t="shared" si="3"/>
        <v>9</v>
      </c>
      <c r="I13" s="80" t="s">
        <v>71</v>
      </c>
      <c r="J13" s="57"/>
      <c r="K13" s="41">
        <v>0.26</v>
      </c>
      <c r="L13" s="61" t="s">
        <v>96</v>
      </c>
    </row>
    <row r="14">
      <c r="A14" s="89">
        <f t="shared" si="1"/>
        <v>10</v>
      </c>
      <c r="B14" s="80" t="s">
        <v>69</v>
      </c>
      <c r="C14" s="33"/>
      <c r="D14" s="10"/>
      <c r="E14" s="13"/>
      <c r="F14" s="36" t="s">
        <v>42</v>
      </c>
      <c r="H14" s="83">
        <f t="shared" si="3"/>
        <v>10</v>
      </c>
      <c r="I14" s="84" t="s">
        <v>75</v>
      </c>
      <c r="J14" s="57"/>
      <c r="K14" s="71">
        <v>1.0</v>
      </c>
      <c r="L14" s="43" t="s">
        <v>68</v>
      </c>
    </row>
    <row r="15">
      <c r="A15" s="89">
        <f t="shared" si="1"/>
        <v>11</v>
      </c>
      <c r="B15" s="80" t="s">
        <v>71</v>
      </c>
      <c r="C15" s="33"/>
      <c r="D15" s="10"/>
      <c r="E15" s="13"/>
      <c r="F15" s="36" t="s">
        <v>42</v>
      </c>
      <c r="H15" s="83">
        <f t="shared" si="3"/>
        <v>11</v>
      </c>
      <c r="I15" s="94" t="s">
        <v>173</v>
      </c>
      <c r="J15" s="57"/>
      <c r="K15" s="71">
        <v>1.0</v>
      </c>
      <c r="L15" s="43" t="s">
        <v>68</v>
      </c>
    </row>
    <row r="16">
      <c r="A16" s="83">
        <f t="shared" si="1"/>
        <v>12</v>
      </c>
      <c r="B16" s="84" t="s">
        <v>75</v>
      </c>
      <c r="C16" s="33"/>
      <c r="D16" s="10"/>
      <c r="E16" s="13"/>
      <c r="F16" s="36" t="s">
        <v>42</v>
      </c>
      <c r="H16" s="83">
        <f t="shared" si="3"/>
        <v>12</v>
      </c>
      <c r="I16" s="84" t="s">
        <v>76</v>
      </c>
      <c r="J16" s="57"/>
      <c r="K16" s="41">
        <v>2.5</v>
      </c>
      <c r="L16" s="61" t="s">
        <v>96</v>
      </c>
    </row>
    <row r="17">
      <c r="A17" s="83">
        <f t="shared" si="1"/>
        <v>13</v>
      </c>
      <c r="B17" s="94" t="s">
        <v>173</v>
      </c>
      <c r="C17" s="33" t="s">
        <v>174</v>
      </c>
      <c r="D17" s="10"/>
      <c r="E17" s="13"/>
      <c r="F17" s="36" t="s">
        <v>42</v>
      </c>
      <c r="H17" s="83">
        <f t="shared" si="3"/>
        <v>13</v>
      </c>
      <c r="I17" s="84" t="s">
        <v>79</v>
      </c>
      <c r="J17" s="57"/>
      <c r="K17" s="71">
        <v>4.0</v>
      </c>
      <c r="L17" s="61" t="s">
        <v>68</v>
      </c>
    </row>
    <row r="18">
      <c r="A18" s="83">
        <f>A16+1</f>
        <v>13</v>
      </c>
      <c r="B18" s="84" t="s">
        <v>76</v>
      </c>
      <c r="C18" s="33"/>
      <c r="D18" s="10"/>
      <c r="E18" s="13"/>
      <c r="F18" s="36" t="s">
        <v>42</v>
      </c>
      <c r="H18" s="83">
        <f t="shared" si="3"/>
        <v>14</v>
      </c>
      <c r="I18" s="84" t="s">
        <v>80</v>
      </c>
      <c r="J18" s="57"/>
      <c r="K18" s="41">
        <v>0.1</v>
      </c>
      <c r="L18" s="43" t="s">
        <v>96</v>
      </c>
    </row>
    <row r="19">
      <c r="A19" s="83">
        <f t="shared" ref="A19:A22" si="4">A18+1</f>
        <v>14</v>
      </c>
      <c r="B19" s="84" t="s">
        <v>79</v>
      </c>
      <c r="C19" s="33"/>
      <c r="D19" s="10"/>
      <c r="E19" s="13"/>
      <c r="F19" s="36" t="s">
        <v>42</v>
      </c>
      <c r="H19" s="83">
        <f t="shared" si="3"/>
        <v>15</v>
      </c>
      <c r="I19" s="94" t="s">
        <v>118</v>
      </c>
      <c r="J19" s="57"/>
      <c r="K19" s="71">
        <v>8.0</v>
      </c>
      <c r="L19" s="43" t="s">
        <v>68</v>
      </c>
    </row>
    <row r="20">
      <c r="A20" s="83">
        <f t="shared" si="4"/>
        <v>15</v>
      </c>
      <c r="B20" s="84" t="s">
        <v>80</v>
      </c>
      <c r="C20" s="33"/>
      <c r="D20" s="10"/>
      <c r="E20" s="13"/>
      <c r="F20" s="36" t="s">
        <v>42</v>
      </c>
      <c r="H20" s="83">
        <f t="shared" si="3"/>
        <v>16</v>
      </c>
      <c r="I20" s="94" t="s">
        <v>121</v>
      </c>
      <c r="J20" s="57"/>
      <c r="K20" s="71">
        <v>1.0</v>
      </c>
      <c r="L20" s="43" t="s">
        <v>68</v>
      </c>
    </row>
    <row r="21">
      <c r="A21" s="83">
        <f t="shared" si="4"/>
        <v>16</v>
      </c>
      <c r="B21" s="94" t="s">
        <v>118</v>
      </c>
      <c r="C21" s="33"/>
      <c r="D21" s="10"/>
      <c r="E21" s="13"/>
      <c r="F21" s="36" t="s">
        <v>42</v>
      </c>
      <c r="H21" s="83">
        <f t="shared" si="3"/>
        <v>17</v>
      </c>
      <c r="I21" s="94" t="s">
        <v>88</v>
      </c>
      <c r="J21" s="38" t="s">
        <v>44</v>
      </c>
      <c r="K21" s="98">
        <v>1.0</v>
      </c>
      <c r="L21" s="43" t="s">
        <v>68</v>
      </c>
    </row>
    <row r="22">
      <c r="A22" s="83">
        <f t="shared" si="4"/>
        <v>17</v>
      </c>
      <c r="B22" s="94" t="s">
        <v>121</v>
      </c>
      <c r="C22" s="33"/>
      <c r="D22" s="10"/>
      <c r="E22" s="13"/>
      <c r="F22" s="36" t="s">
        <v>42</v>
      </c>
      <c r="H22" s="83">
        <f t="shared" si="3"/>
        <v>18</v>
      </c>
      <c r="I22" s="84" t="s">
        <v>90</v>
      </c>
      <c r="J22" s="38" t="s">
        <v>44</v>
      </c>
      <c r="K22" s="71">
        <v>1.0</v>
      </c>
      <c r="L22" s="43" t="s">
        <v>68</v>
      </c>
    </row>
    <row r="23">
      <c r="A23" s="83">
        <f>A21+1</f>
        <v>17</v>
      </c>
      <c r="B23" s="84" t="s">
        <v>122</v>
      </c>
      <c r="C23" s="33" t="s">
        <v>89</v>
      </c>
      <c r="D23" s="10"/>
      <c r="E23" s="13"/>
      <c r="F23" s="36" t="s">
        <v>42</v>
      </c>
      <c r="H23" s="83">
        <f t="shared" si="3"/>
        <v>19</v>
      </c>
      <c r="I23" s="84" t="s">
        <v>92</v>
      </c>
      <c r="J23" s="57"/>
      <c r="K23" s="71">
        <v>1.0</v>
      </c>
      <c r="L23" s="43" t="s">
        <v>68</v>
      </c>
    </row>
    <row r="24">
      <c r="A24" s="83">
        <f t="shared" ref="A24:A32" si="5">A23+1</f>
        <v>18</v>
      </c>
      <c r="B24" s="84" t="s">
        <v>90</v>
      </c>
      <c r="C24" s="33" t="s">
        <v>89</v>
      </c>
      <c r="D24" s="10"/>
      <c r="E24" s="13"/>
      <c r="F24" s="36" t="s">
        <v>133</v>
      </c>
      <c r="H24" s="83">
        <f t="shared" si="3"/>
        <v>20</v>
      </c>
      <c r="I24" s="84" t="s">
        <v>93</v>
      </c>
      <c r="J24" s="57"/>
      <c r="K24" s="71">
        <v>1.0</v>
      </c>
      <c r="L24" s="43" t="s">
        <v>68</v>
      </c>
    </row>
    <row r="25">
      <c r="A25" s="83">
        <f t="shared" si="5"/>
        <v>19</v>
      </c>
      <c r="B25" s="84" t="s">
        <v>92</v>
      </c>
      <c r="C25" s="33"/>
      <c r="D25" s="10"/>
      <c r="E25" s="13"/>
      <c r="F25" s="36" t="s">
        <v>133</v>
      </c>
      <c r="H25" s="104">
        <v>21.0</v>
      </c>
      <c r="I25" s="102" t="s">
        <v>123</v>
      </c>
      <c r="J25" s="57"/>
      <c r="K25" s="71">
        <v>1.0</v>
      </c>
      <c r="L25" s="43" t="s">
        <v>68</v>
      </c>
    </row>
    <row r="26">
      <c r="A26" s="83">
        <f t="shared" si="5"/>
        <v>20</v>
      </c>
      <c r="B26" s="84" t="s">
        <v>93</v>
      </c>
      <c r="C26" s="33"/>
      <c r="D26" s="10"/>
      <c r="E26" s="13"/>
      <c r="F26" s="36" t="s">
        <v>133</v>
      </c>
      <c r="H26" s="104">
        <v>22.0</v>
      </c>
      <c r="I26" s="102" t="s">
        <v>124</v>
      </c>
      <c r="J26" s="57"/>
      <c r="K26" s="71">
        <v>1.0</v>
      </c>
      <c r="L26" s="43" t="s">
        <v>68</v>
      </c>
    </row>
    <row r="27">
      <c r="A27" s="101">
        <f t="shared" si="5"/>
        <v>21</v>
      </c>
      <c r="B27" s="102" t="s">
        <v>123</v>
      </c>
      <c r="C27" s="33"/>
      <c r="D27" s="10"/>
      <c r="E27" s="13"/>
      <c r="F27" s="36" t="s">
        <v>42</v>
      </c>
      <c r="H27" s="104">
        <v>23.0</v>
      </c>
      <c r="I27" s="102" t="s">
        <v>125</v>
      </c>
      <c r="J27" s="57"/>
      <c r="K27" s="71">
        <v>1.0</v>
      </c>
      <c r="L27" s="43" t="s">
        <v>68</v>
      </c>
    </row>
    <row r="28">
      <c r="A28" s="101">
        <f t="shared" si="5"/>
        <v>22</v>
      </c>
      <c r="B28" s="102" t="s">
        <v>124</v>
      </c>
      <c r="C28" s="33"/>
      <c r="D28" s="10"/>
      <c r="E28" s="13"/>
      <c r="F28" s="36" t="s">
        <v>42</v>
      </c>
      <c r="H28" s="104">
        <v>24.0</v>
      </c>
      <c r="I28" s="106" t="s">
        <v>127</v>
      </c>
      <c r="J28" s="57"/>
      <c r="K28" s="71">
        <v>1.0</v>
      </c>
      <c r="L28" s="43" t="s">
        <v>68</v>
      </c>
    </row>
    <row r="29">
      <c r="A29" s="101">
        <f t="shared" si="5"/>
        <v>23</v>
      </c>
      <c r="B29" s="102" t="s">
        <v>125</v>
      </c>
      <c r="C29" s="33"/>
      <c r="D29" s="10"/>
      <c r="E29" s="13"/>
      <c r="F29" s="36" t="s">
        <v>42</v>
      </c>
      <c r="H29" s="104">
        <v>25.0</v>
      </c>
      <c r="I29" s="100" t="s">
        <v>120</v>
      </c>
      <c r="J29" s="57"/>
      <c r="K29" s="71">
        <v>1.0</v>
      </c>
      <c r="L29" s="43" t="s">
        <v>68</v>
      </c>
    </row>
    <row r="30">
      <c r="A30" s="101">
        <f t="shared" si="5"/>
        <v>24</v>
      </c>
      <c r="B30" s="106" t="s">
        <v>127</v>
      </c>
      <c r="C30" s="33"/>
      <c r="D30" s="10"/>
      <c r="E30" s="13"/>
      <c r="F30" s="36" t="s">
        <v>133</v>
      </c>
      <c r="H30" s="104">
        <v>26.0</v>
      </c>
      <c r="I30" s="42" t="s">
        <v>117</v>
      </c>
      <c r="J30" s="57"/>
      <c r="K30" s="71">
        <v>1.0</v>
      </c>
      <c r="L30" s="43" t="s">
        <v>68</v>
      </c>
    </row>
    <row r="31">
      <c r="A31" s="101">
        <f t="shared" si="5"/>
        <v>25</v>
      </c>
      <c r="B31" s="100" t="s">
        <v>120</v>
      </c>
      <c r="C31" s="33"/>
      <c r="D31" s="10"/>
      <c r="E31" s="13"/>
      <c r="F31" s="36" t="s">
        <v>137</v>
      </c>
    </row>
    <row r="32">
      <c r="A32" s="101">
        <f t="shared" si="5"/>
        <v>26</v>
      </c>
      <c r="B32" s="42" t="s">
        <v>117</v>
      </c>
      <c r="C32" s="33"/>
      <c r="D32" s="10"/>
      <c r="E32" s="13"/>
      <c r="F32" s="36" t="s">
        <v>137</v>
      </c>
    </row>
    <row r="34">
      <c r="H34" s="8" t="s">
        <v>176</v>
      </c>
      <c r="I34" s="10"/>
      <c r="J34" s="10"/>
      <c r="K34" s="10"/>
      <c r="L34" s="13"/>
    </row>
    <row r="35">
      <c r="H35" s="15" t="s">
        <v>13</v>
      </c>
      <c r="I35" s="17" t="s">
        <v>16</v>
      </c>
      <c r="J35" s="24" t="s">
        <v>23</v>
      </c>
      <c r="K35" s="26" t="s">
        <v>24</v>
      </c>
      <c r="L35" s="28" t="s">
        <v>27</v>
      </c>
    </row>
    <row r="36">
      <c r="H36" s="31">
        <v>1.0</v>
      </c>
      <c r="I36" s="32" t="s">
        <v>20</v>
      </c>
      <c r="J36" s="38" t="s">
        <v>135</v>
      </c>
      <c r="K36" s="41">
        <v>1.75</v>
      </c>
      <c r="L36" s="43" t="s">
        <v>46</v>
      </c>
    </row>
    <row r="37">
      <c r="H37" s="31">
        <f t="shared" ref="H37:H39" si="6">H36+1</f>
        <v>2</v>
      </c>
      <c r="I37" s="32" t="s">
        <v>47</v>
      </c>
      <c r="J37" s="38" t="s">
        <v>135</v>
      </c>
      <c r="K37" s="51">
        <f>25/110</f>
        <v>0.2272727273</v>
      </c>
      <c r="L37" s="53" t="s">
        <v>62</v>
      </c>
    </row>
    <row r="38">
      <c r="H38" s="52">
        <f t="shared" si="6"/>
        <v>3</v>
      </c>
      <c r="I38" s="55" t="s">
        <v>63</v>
      </c>
      <c r="J38" s="57"/>
      <c r="K38" s="51">
        <f>1/3</f>
        <v>0.3333333333</v>
      </c>
      <c r="L38" s="61" t="s">
        <v>68</v>
      </c>
    </row>
    <row r="39">
      <c r="H39" s="60">
        <f t="shared" si="6"/>
        <v>4</v>
      </c>
      <c r="I39" s="63" t="s">
        <v>77</v>
      </c>
      <c r="J39" s="38" t="s">
        <v>136</v>
      </c>
      <c r="K39" s="65">
        <v>1.0</v>
      </c>
      <c r="L39" s="61" t="s">
        <v>68</v>
      </c>
    </row>
    <row r="40">
      <c r="H40" s="66">
        <v>5.0</v>
      </c>
      <c r="I40" s="76" t="s">
        <v>97</v>
      </c>
      <c r="J40" s="70"/>
      <c r="K40" s="65">
        <v>1.0</v>
      </c>
      <c r="L40" s="61" t="s">
        <v>68</v>
      </c>
    </row>
    <row r="41">
      <c r="H41" s="73">
        <f t="shared" ref="H41:H55" si="7">H40+1</f>
        <v>6</v>
      </c>
      <c r="I41" s="74" t="s">
        <v>64</v>
      </c>
      <c r="J41" s="57"/>
      <c r="K41" s="65">
        <v>1.0</v>
      </c>
      <c r="L41" s="61" t="s">
        <v>68</v>
      </c>
    </row>
    <row r="42">
      <c r="H42" s="89">
        <f t="shared" si="7"/>
        <v>7</v>
      </c>
      <c r="I42" s="120" t="s">
        <v>72</v>
      </c>
      <c r="J42" s="57"/>
      <c r="K42" s="71">
        <v>4.0</v>
      </c>
      <c r="L42" s="61" t="s">
        <v>68</v>
      </c>
    </row>
    <row r="43">
      <c r="H43" s="89">
        <f t="shared" si="7"/>
        <v>8</v>
      </c>
      <c r="I43" s="80" t="s">
        <v>69</v>
      </c>
      <c r="J43" s="57"/>
      <c r="K43" s="41">
        <v>0.16</v>
      </c>
      <c r="L43" s="61" t="s">
        <v>96</v>
      </c>
    </row>
    <row r="44">
      <c r="H44" s="89">
        <f t="shared" si="7"/>
        <v>9</v>
      </c>
      <c r="I44" s="80" t="s">
        <v>71</v>
      </c>
      <c r="J44" s="57"/>
      <c r="K44" s="41">
        <v>0.26</v>
      </c>
      <c r="L44" s="61" t="s">
        <v>96</v>
      </c>
    </row>
    <row r="45">
      <c r="H45" s="83">
        <f t="shared" si="7"/>
        <v>10</v>
      </c>
      <c r="I45" s="84" t="s">
        <v>75</v>
      </c>
      <c r="J45" s="57"/>
      <c r="K45" s="71">
        <v>1.0</v>
      </c>
      <c r="L45" s="43" t="s">
        <v>68</v>
      </c>
    </row>
    <row r="46">
      <c r="H46" s="83">
        <f t="shared" si="7"/>
        <v>11</v>
      </c>
      <c r="I46" s="94" t="s">
        <v>173</v>
      </c>
      <c r="J46" s="57"/>
      <c r="K46" s="71">
        <v>1.0</v>
      </c>
      <c r="L46" s="43" t="s">
        <v>68</v>
      </c>
    </row>
    <row r="47">
      <c r="H47" s="83">
        <f t="shared" si="7"/>
        <v>12</v>
      </c>
      <c r="I47" s="84" t="s">
        <v>76</v>
      </c>
      <c r="J47" s="57"/>
      <c r="K47" s="41">
        <v>2.5</v>
      </c>
      <c r="L47" s="61" t="s">
        <v>96</v>
      </c>
    </row>
    <row r="48">
      <c r="H48" s="83">
        <f t="shared" si="7"/>
        <v>13</v>
      </c>
      <c r="I48" s="84" t="s">
        <v>79</v>
      </c>
      <c r="J48" s="57"/>
      <c r="K48" s="71">
        <v>4.0</v>
      </c>
      <c r="L48" s="61" t="s">
        <v>68</v>
      </c>
    </row>
    <row r="49">
      <c r="H49" s="83">
        <f t="shared" si="7"/>
        <v>14</v>
      </c>
      <c r="I49" s="84" t="s">
        <v>80</v>
      </c>
      <c r="J49" s="57"/>
      <c r="K49" s="41">
        <v>0.1</v>
      </c>
      <c r="L49" s="43" t="s">
        <v>96</v>
      </c>
    </row>
    <row r="50">
      <c r="H50" s="83">
        <f t="shared" si="7"/>
        <v>15</v>
      </c>
      <c r="I50" s="94" t="s">
        <v>118</v>
      </c>
      <c r="J50" s="57"/>
      <c r="K50" s="71">
        <v>8.0</v>
      </c>
      <c r="L50" s="43" t="s">
        <v>68</v>
      </c>
    </row>
    <row r="51">
      <c r="H51" s="83">
        <f t="shared" si="7"/>
        <v>16</v>
      </c>
      <c r="I51" s="94" t="s">
        <v>121</v>
      </c>
      <c r="J51" s="57"/>
      <c r="K51" s="71">
        <v>1.0</v>
      </c>
      <c r="L51" s="43" t="s">
        <v>68</v>
      </c>
    </row>
    <row r="52">
      <c r="H52" s="83">
        <f t="shared" si="7"/>
        <v>17</v>
      </c>
      <c r="I52" s="94" t="s">
        <v>88</v>
      </c>
      <c r="J52" s="38" t="s">
        <v>135</v>
      </c>
      <c r="K52" s="98">
        <v>1.0</v>
      </c>
      <c r="L52" s="43" t="s">
        <v>68</v>
      </c>
    </row>
    <row r="53">
      <c r="H53" s="83">
        <f t="shared" si="7"/>
        <v>18</v>
      </c>
      <c r="I53" s="84" t="s">
        <v>90</v>
      </c>
      <c r="J53" s="38" t="s">
        <v>135</v>
      </c>
      <c r="K53" s="71">
        <v>1.0</v>
      </c>
      <c r="L53" s="43" t="s">
        <v>68</v>
      </c>
    </row>
    <row r="54">
      <c r="H54" s="83">
        <f t="shared" si="7"/>
        <v>19</v>
      </c>
      <c r="I54" s="84" t="s">
        <v>92</v>
      </c>
      <c r="J54" s="57"/>
      <c r="K54" s="71">
        <v>1.0</v>
      </c>
      <c r="L54" s="43" t="s">
        <v>68</v>
      </c>
    </row>
    <row r="55">
      <c r="H55" s="83">
        <f t="shared" si="7"/>
        <v>20</v>
      </c>
      <c r="I55" s="84" t="s">
        <v>93</v>
      </c>
      <c r="J55" s="57"/>
      <c r="K55" s="71">
        <v>1.0</v>
      </c>
      <c r="L55" s="43" t="s">
        <v>68</v>
      </c>
    </row>
    <row r="56">
      <c r="H56" s="104">
        <v>21.0</v>
      </c>
      <c r="I56" s="102" t="s">
        <v>123</v>
      </c>
      <c r="J56" s="57"/>
      <c r="K56" s="71">
        <v>1.0</v>
      </c>
      <c r="L56" s="43" t="s">
        <v>68</v>
      </c>
    </row>
    <row r="57">
      <c r="H57" s="104">
        <v>22.0</v>
      </c>
      <c r="I57" s="102" t="s">
        <v>124</v>
      </c>
      <c r="J57" s="57"/>
      <c r="K57" s="71">
        <v>1.0</v>
      </c>
      <c r="L57" s="43" t="s">
        <v>68</v>
      </c>
    </row>
    <row r="58">
      <c r="H58" s="104">
        <v>23.0</v>
      </c>
      <c r="I58" s="102" t="s">
        <v>125</v>
      </c>
      <c r="J58" s="57"/>
      <c r="K58" s="71">
        <v>1.0</v>
      </c>
      <c r="L58" s="43" t="s">
        <v>68</v>
      </c>
    </row>
    <row r="59">
      <c r="H59" s="104">
        <v>24.0</v>
      </c>
      <c r="I59" s="106" t="s">
        <v>127</v>
      </c>
      <c r="J59" s="57"/>
      <c r="K59" s="71">
        <v>1.0</v>
      </c>
      <c r="L59" s="43" t="s">
        <v>68</v>
      </c>
    </row>
    <row r="60">
      <c r="H60" s="104">
        <v>25.0</v>
      </c>
      <c r="I60" s="100" t="s">
        <v>120</v>
      </c>
      <c r="J60" s="57"/>
      <c r="K60" s="71">
        <v>1.0</v>
      </c>
      <c r="L60" s="43" t="s">
        <v>68</v>
      </c>
    </row>
    <row r="61">
      <c r="H61" s="104">
        <v>26.0</v>
      </c>
      <c r="I61" s="42" t="s">
        <v>117</v>
      </c>
      <c r="J61" s="57"/>
      <c r="K61" s="71">
        <v>1.0</v>
      </c>
      <c r="L61" s="43" t="s">
        <v>68</v>
      </c>
    </row>
    <row r="65">
      <c r="H65" s="8" t="s">
        <v>181</v>
      </c>
      <c r="I65" s="10"/>
      <c r="J65" s="10"/>
      <c r="K65" s="10"/>
      <c r="L65" s="13"/>
    </row>
    <row r="66">
      <c r="H66" s="15" t="s">
        <v>13</v>
      </c>
      <c r="I66" s="17" t="s">
        <v>16</v>
      </c>
      <c r="J66" s="24" t="s">
        <v>23</v>
      </c>
      <c r="K66" s="26" t="s">
        <v>24</v>
      </c>
      <c r="L66" s="28" t="s">
        <v>27</v>
      </c>
    </row>
    <row r="67">
      <c r="H67" s="31">
        <v>1.0</v>
      </c>
      <c r="I67" s="32" t="s">
        <v>20</v>
      </c>
      <c r="J67" s="38" t="s">
        <v>140</v>
      </c>
      <c r="K67" s="41">
        <v>1.85</v>
      </c>
      <c r="L67" s="43" t="s">
        <v>46</v>
      </c>
    </row>
    <row r="68">
      <c r="H68" s="31">
        <f t="shared" ref="H68:H70" si="8">H67+1</f>
        <v>2</v>
      </c>
      <c r="I68" s="32" t="s">
        <v>47</v>
      </c>
      <c r="J68" s="38" t="s">
        <v>140</v>
      </c>
      <c r="K68" s="51">
        <f>25/110</f>
        <v>0.2272727273</v>
      </c>
      <c r="L68" s="53" t="s">
        <v>62</v>
      </c>
    </row>
    <row r="69">
      <c r="H69" s="52">
        <f t="shared" si="8"/>
        <v>3</v>
      </c>
      <c r="I69" s="55" t="s">
        <v>63</v>
      </c>
      <c r="J69" s="57"/>
      <c r="K69" s="51">
        <f>1/3</f>
        <v>0.3333333333</v>
      </c>
      <c r="L69" s="61" t="s">
        <v>68</v>
      </c>
    </row>
    <row r="70">
      <c r="H70" s="60">
        <f t="shared" si="8"/>
        <v>4</v>
      </c>
      <c r="I70" s="63" t="s">
        <v>77</v>
      </c>
      <c r="J70" s="38" t="s">
        <v>136</v>
      </c>
      <c r="K70" s="65">
        <v>1.0</v>
      </c>
      <c r="L70" s="61" t="s">
        <v>68</v>
      </c>
    </row>
    <row r="71">
      <c r="H71" s="66">
        <v>5.0</v>
      </c>
      <c r="I71" s="76" t="s">
        <v>97</v>
      </c>
      <c r="J71" s="70"/>
      <c r="K71" s="65">
        <v>1.0</v>
      </c>
      <c r="L71" s="61" t="s">
        <v>68</v>
      </c>
    </row>
    <row r="72">
      <c r="H72" s="73">
        <f t="shared" ref="H72:H86" si="9">H71+1</f>
        <v>6</v>
      </c>
      <c r="I72" s="74" t="s">
        <v>64</v>
      </c>
      <c r="J72" s="57"/>
      <c r="K72" s="65">
        <v>1.0</v>
      </c>
      <c r="L72" s="61" t="s">
        <v>68</v>
      </c>
    </row>
    <row r="73">
      <c r="H73" s="89">
        <f t="shared" si="9"/>
        <v>7</v>
      </c>
      <c r="I73" s="120" t="s">
        <v>72</v>
      </c>
      <c r="J73" s="57"/>
      <c r="K73" s="71">
        <v>4.0</v>
      </c>
      <c r="L73" s="61" t="s">
        <v>68</v>
      </c>
    </row>
    <row r="74">
      <c r="H74" s="89">
        <f t="shared" si="9"/>
        <v>8</v>
      </c>
      <c r="I74" s="80" t="s">
        <v>69</v>
      </c>
      <c r="J74" s="57"/>
      <c r="K74" s="41">
        <v>0.16</v>
      </c>
      <c r="L74" s="61" t="s">
        <v>96</v>
      </c>
    </row>
    <row r="75">
      <c r="H75" s="89">
        <f t="shared" si="9"/>
        <v>9</v>
      </c>
      <c r="I75" s="80" t="s">
        <v>71</v>
      </c>
      <c r="J75" s="57"/>
      <c r="K75" s="41">
        <v>0.26</v>
      </c>
      <c r="L75" s="61" t="s">
        <v>96</v>
      </c>
    </row>
    <row r="76">
      <c r="H76" s="83">
        <f t="shared" si="9"/>
        <v>10</v>
      </c>
      <c r="I76" s="84" t="s">
        <v>75</v>
      </c>
      <c r="J76" s="57"/>
      <c r="K76" s="71">
        <v>1.0</v>
      </c>
      <c r="L76" s="43" t="s">
        <v>68</v>
      </c>
    </row>
    <row r="77">
      <c r="H77" s="83">
        <f t="shared" si="9"/>
        <v>11</v>
      </c>
      <c r="I77" s="94" t="s">
        <v>173</v>
      </c>
      <c r="J77" s="57"/>
      <c r="K77" s="71">
        <v>1.0</v>
      </c>
      <c r="L77" s="43" t="s">
        <v>68</v>
      </c>
    </row>
    <row r="78">
      <c r="H78" s="83">
        <f t="shared" si="9"/>
        <v>12</v>
      </c>
      <c r="I78" s="84" t="s">
        <v>76</v>
      </c>
      <c r="J78" s="57"/>
      <c r="K78" s="41">
        <v>2.5</v>
      </c>
      <c r="L78" s="61" t="s">
        <v>96</v>
      </c>
    </row>
    <row r="79">
      <c r="H79" s="83">
        <f t="shared" si="9"/>
        <v>13</v>
      </c>
      <c r="I79" s="84" t="s">
        <v>79</v>
      </c>
      <c r="J79" s="57"/>
      <c r="K79" s="71">
        <v>4.0</v>
      </c>
      <c r="L79" s="61" t="s">
        <v>68</v>
      </c>
    </row>
    <row r="80">
      <c r="H80" s="83">
        <f t="shared" si="9"/>
        <v>14</v>
      </c>
      <c r="I80" s="84" t="s">
        <v>80</v>
      </c>
      <c r="J80" s="57"/>
      <c r="K80" s="41">
        <v>0.1</v>
      </c>
      <c r="L80" s="43" t="s">
        <v>96</v>
      </c>
    </row>
    <row r="81">
      <c r="H81" s="83">
        <f t="shared" si="9"/>
        <v>15</v>
      </c>
      <c r="I81" s="94" t="s">
        <v>118</v>
      </c>
      <c r="J81" s="57"/>
      <c r="K81" s="71">
        <v>8.0</v>
      </c>
      <c r="L81" s="43" t="s">
        <v>68</v>
      </c>
    </row>
    <row r="82">
      <c r="H82" s="83">
        <f t="shared" si="9"/>
        <v>16</v>
      </c>
      <c r="I82" s="94" t="s">
        <v>121</v>
      </c>
      <c r="J82" s="57"/>
      <c r="K82" s="71">
        <v>1.0</v>
      </c>
      <c r="L82" s="43" t="s">
        <v>68</v>
      </c>
    </row>
    <row r="83">
      <c r="H83" s="83">
        <f t="shared" si="9"/>
        <v>17</v>
      </c>
      <c r="I83" s="94" t="s">
        <v>88</v>
      </c>
      <c r="J83" s="38" t="s">
        <v>140</v>
      </c>
      <c r="K83" s="98">
        <v>1.0</v>
      </c>
      <c r="L83" s="43" t="s">
        <v>68</v>
      </c>
    </row>
    <row r="84">
      <c r="H84" s="83">
        <f t="shared" si="9"/>
        <v>18</v>
      </c>
      <c r="I84" s="84" t="s">
        <v>90</v>
      </c>
      <c r="J84" s="38" t="s">
        <v>140</v>
      </c>
      <c r="K84" s="71">
        <v>1.0</v>
      </c>
      <c r="L84" s="43" t="s">
        <v>68</v>
      </c>
    </row>
    <row r="85">
      <c r="H85" s="83">
        <f t="shared" si="9"/>
        <v>19</v>
      </c>
      <c r="I85" s="84" t="s">
        <v>92</v>
      </c>
      <c r="J85" s="57"/>
      <c r="K85" s="71">
        <v>1.0</v>
      </c>
      <c r="L85" s="43" t="s">
        <v>68</v>
      </c>
    </row>
    <row r="86">
      <c r="H86" s="83">
        <f t="shared" si="9"/>
        <v>20</v>
      </c>
      <c r="I86" s="84" t="s">
        <v>93</v>
      </c>
      <c r="J86" s="57"/>
      <c r="K86" s="71">
        <v>1.0</v>
      </c>
      <c r="L86" s="43" t="s">
        <v>68</v>
      </c>
    </row>
    <row r="87">
      <c r="H87" s="104">
        <v>21.0</v>
      </c>
      <c r="I87" s="102" t="s">
        <v>123</v>
      </c>
      <c r="J87" s="57"/>
      <c r="K87" s="71">
        <v>1.0</v>
      </c>
      <c r="L87" s="43" t="s">
        <v>68</v>
      </c>
    </row>
    <row r="88">
      <c r="H88" s="104">
        <v>22.0</v>
      </c>
      <c r="I88" s="102" t="s">
        <v>124</v>
      </c>
      <c r="J88" s="57"/>
      <c r="K88" s="71">
        <v>1.0</v>
      </c>
      <c r="L88" s="43" t="s">
        <v>68</v>
      </c>
    </row>
    <row r="89">
      <c r="H89" s="104">
        <v>23.0</v>
      </c>
      <c r="I89" s="102" t="s">
        <v>125</v>
      </c>
      <c r="J89" s="57"/>
      <c r="K89" s="71">
        <v>1.0</v>
      </c>
      <c r="L89" s="43" t="s">
        <v>68</v>
      </c>
    </row>
    <row r="90">
      <c r="H90" s="104">
        <v>24.0</v>
      </c>
      <c r="I90" s="106" t="s">
        <v>127</v>
      </c>
      <c r="J90" s="57"/>
      <c r="K90" s="71">
        <v>1.0</v>
      </c>
      <c r="L90" s="43" t="s">
        <v>68</v>
      </c>
    </row>
    <row r="91">
      <c r="H91" s="104">
        <v>25.0</v>
      </c>
      <c r="I91" s="100" t="s">
        <v>120</v>
      </c>
      <c r="J91" s="57"/>
      <c r="K91" s="71">
        <v>1.0</v>
      </c>
      <c r="L91" s="43" t="s">
        <v>68</v>
      </c>
    </row>
    <row r="92">
      <c r="H92" s="104">
        <v>26.0</v>
      </c>
      <c r="I92" s="42" t="s">
        <v>117</v>
      </c>
      <c r="J92" s="57"/>
      <c r="K92" s="71">
        <v>1.0</v>
      </c>
      <c r="L92" s="43" t="s">
        <v>68</v>
      </c>
    </row>
    <row r="96">
      <c r="H96" s="8" t="s">
        <v>182</v>
      </c>
      <c r="I96" s="10"/>
      <c r="J96" s="10"/>
      <c r="K96" s="10"/>
      <c r="L96" s="13"/>
    </row>
    <row r="97">
      <c r="H97" s="15" t="s">
        <v>13</v>
      </c>
      <c r="I97" s="17" t="s">
        <v>16</v>
      </c>
      <c r="J97" s="24" t="s">
        <v>23</v>
      </c>
      <c r="K97" s="26" t="s">
        <v>24</v>
      </c>
      <c r="L97" s="28" t="s">
        <v>27</v>
      </c>
    </row>
    <row r="98">
      <c r="H98" s="31">
        <v>1.0</v>
      </c>
      <c r="I98" s="32" t="s">
        <v>20</v>
      </c>
      <c r="J98" s="38" t="s">
        <v>61</v>
      </c>
      <c r="K98" s="41">
        <v>2.0</v>
      </c>
      <c r="L98" s="43" t="s">
        <v>46</v>
      </c>
    </row>
    <row r="99">
      <c r="H99" s="31">
        <f t="shared" ref="H99:H101" si="10">H98+1</f>
        <v>2</v>
      </c>
      <c r="I99" s="32" t="s">
        <v>47</v>
      </c>
      <c r="J99" s="38" t="s">
        <v>61</v>
      </c>
      <c r="K99" s="51">
        <f>25/110</f>
        <v>0.2272727273</v>
      </c>
      <c r="L99" s="53" t="s">
        <v>62</v>
      </c>
    </row>
    <row r="100">
      <c r="H100" s="52">
        <f t="shared" si="10"/>
        <v>3</v>
      </c>
      <c r="I100" s="55" t="s">
        <v>63</v>
      </c>
      <c r="J100" s="57"/>
      <c r="K100" s="51">
        <f>1/3</f>
        <v>0.3333333333</v>
      </c>
      <c r="L100" s="61" t="s">
        <v>68</v>
      </c>
    </row>
    <row r="101">
      <c r="H101" s="60">
        <f t="shared" si="10"/>
        <v>4</v>
      </c>
      <c r="I101" s="63" t="s">
        <v>77</v>
      </c>
      <c r="J101" s="38" t="s">
        <v>149</v>
      </c>
      <c r="K101" s="65">
        <v>1.0</v>
      </c>
      <c r="L101" s="61" t="s">
        <v>68</v>
      </c>
    </row>
    <row r="102">
      <c r="H102" s="66">
        <v>5.0</v>
      </c>
      <c r="I102" s="76" t="s">
        <v>97</v>
      </c>
      <c r="J102" s="70"/>
      <c r="K102" s="65">
        <v>1.0</v>
      </c>
      <c r="L102" s="61" t="s">
        <v>68</v>
      </c>
    </row>
    <row r="103">
      <c r="H103" s="73">
        <f t="shared" ref="H103:H117" si="11">H102+1</f>
        <v>6</v>
      </c>
      <c r="I103" s="74" t="s">
        <v>64</v>
      </c>
      <c r="J103" s="57"/>
      <c r="K103" s="65">
        <v>1.0</v>
      </c>
      <c r="L103" s="61" t="s">
        <v>68</v>
      </c>
    </row>
    <row r="104">
      <c r="H104" s="89">
        <f t="shared" si="11"/>
        <v>7</v>
      </c>
      <c r="I104" s="120" t="s">
        <v>72</v>
      </c>
      <c r="J104" s="57"/>
      <c r="K104" s="71">
        <v>4.0</v>
      </c>
      <c r="L104" s="61" t="s">
        <v>68</v>
      </c>
    </row>
    <row r="105">
      <c r="H105" s="89">
        <f t="shared" si="11"/>
        <v>8</v>
      </c>
      <c r="I105" s="80" t="s">
        <v>69</v>
      </c>
      <c r="J105" s="57"/>
      <c r="K105" s="41">
        <v>0.16</v>
      </c>
      <c r="L105" s="61" t="s">
        <v>96</v>
      </c>
    </row>
    <row r="106">
      <c r="H106" s="89">
        <f t="shared" si="11"/>
        <v>9</v>
      </c>
      <c r="I106" s="80" t="s">
        <v>71</v>
      </c>
      <c r="J106" s="57"/>
      <c r="K106" s="41">
        <v>0.26</v>
      </c>
      <c r="L106" s="61" t="s">
        <v>96</v>
      </c>
    </row>
    <row r="107">
      <c r="H107" s="83">
        <f t="shared" si="11"/>
        <v>10</v>
      </c>
      <c r="I107" s="84" t="s">
        <v>75</v>
      </c>
      <c r="J107" s="57"/>
      <c r="K107" s="71">
        <v>1.0</v>
      </c>
      <c r="L107" s="43" t="s">
        <v>68</v>
      </c>
    </row>
    <row r="108">
      <c r="H108" s="83">
        <f t="shared" si="11"/>
        <v>11</v>
      </c>
      <c r="I108" s="94" t="s">
        <v>173</v>
      </c>
      <c r="J108" s="57"/>
      <c r="K108" s="71">
        <v>1.0</v>
      </c>
      <c r="L108" s="43" t="s">
        <v>68</v>
      </c>
    </row>
    <row r="109">
      <c r="H109" s="83">
        <f t="shared" si="11"/>
        <v>12</v>
      </c>
      <c r="I109" s="84" t="s">
        <v>76</v>
      </c>
      <c r="J109" s="57"/>
      <c r="K109" s="41">
        <v>2.5</v>
      </c>
      <c r="L109" s="61" t="s">
        <v>96</v>
      </c>
    </row>
    <row r="110">
      <c r="H110" s="83">
        <f t="shared" si="11"/>
        <v>13</v>
      </c>
      <c r="I110" s="84" t="s">
        <v>79</v>
      </c>
      <c r="J110" s="57"/>
      <c r="K110" s="71">
        <v>4.0</v>
      </c>
      <c r="L110" s="61" t="s">
        <v>68</v>
      </c>
    </row>
    <row r="111">
      <c r="H111" s="83">
        <f t="shared" si="11"/>
        <v>14</v>
      </c>
      <c r="I111" s="84" t="s">
        <v>80</v>
      </c>
      <c r="J111" s="57"/>
      <c r="K111" s="41">
        <v>0.1</v>
      </c>
      <c r="L111" s="43" t="s">
        <v>96</v>
      </c>
    </row>
    <row r="112">
      <c r="H112" s="83">
        <f t="shared" si="11"/>
        <v>15</v>
      </c>
      <c r="I112" s="94" t="s">
        <v>118</v>
      </c>
      <c r="J112" s="57"/>
      <c r="K112" s="71">
        <v>8.0</v>
      </c>
      <c r="L112" s="43" t="s">
        <v>68</v>
      </c>
    </row>
    <row r="113">
      <c r="H113" s="83">
        <f t="shared" si="11"/>
        <v>16</v>
      </c>
      <c r="I113" s="94" t="s">
        <v>121</v>
      </c>
      <c r="J113" s="57"/>
      <c r="K113" s="71">
        <v>1.0</v>
      </c>
      <c r="L113" s="43" t="s">
        <v>68</v>
      </c>
    </row>
    <row r="114">
      <c r="H114" s="83">
        <f t="shared" si="11"/>
        <v>17</v>
      </c>
      <c r="I114" s="94" t="s">
        <v>88</v>
      </c>
      <c r="J114" s="38" t="s">
        <v>61</v>
      </c>
      <c r="K114" s="98">
        <v>1.0</v>
      </c>
      <c r="L114" s="43" t="s">
        <v>68</v>
      </c>
    </row>
    <row r="115">
      <c r="H115" s="83">
        <f t="shared" si="11"/>
        <v>18</v>
      </c>
      <c r="I115" s="84" t="s">
        <v>90</v>
      </c>
      <c r="J115" s="38" t="s">
        <v>61</v>
      </c>
      <c r="K115" s="71">
        <v>1.0</v>
      </c>
      <c r="L115" s="43" t="s">
        <v>68</v>
      </c>
    </row>
    <row r="116">
      <c r="H116" s="83">
        <f t="shared" si="11"/>
        <v>19</v>
      </c>
      <c r="I116" s="84" t="s">
        <v>92</v>
      </c>
      <c r="J116" s="57"/>
      <c r="K116" s="71">
        <v>1.0</v>
      </c>
      <c r="L116" s="43" t="s">
        <v>68</v>
      </c>
    </row>
    <row r="117">
      <c r="H117" s="83">
        <f t="shared" si="11"/>
        <v>20</v>
      </c>
      <c r="I117" s="84" t="s">
        <v>93</v>
      </c>
      <c r="J117" s="57"/>
      <c r="K117" s="71">
        <v>1.0</v>
      </c>
      <c r="L117" s="43" t="s">
        <v>68</v>
      </c>
    </row>
    <row r="118">
      <c r="H118" s="104">
        <v>21.0</v>
      </c>
      <c r="I118" s="102" t="s">
        <v>123</v>
      </c>
      <c r="J118" s="57"/>
      <c r="K118" s="71">
        <v>1.0</v>
      </c>
      <c r="L118" s="43" t="s">
        <v>68</v>
      </c>
    </row>
    <row r="119">
      <c r="H119" s="104">
        <v>22.0</v>
      </c>
      <c r="I119" s="102" t="s">
        <v>124</v>
      </c>
      <c r="J119" s="57"/>
      <c r="K119" s="71">
        <v>1.0</v>
      </c>
      <c r="L119" s="43" t="s">
        <v>68</v>
      </c>
    </row>
    <row r="120">
      <c r="H120" s="104">
        <v>23.0</v>
      </c>
      <c r="I120" s="102" t="s">
        <v>125</v>
      </c>
      <c r="J120" s="57"/>
      <c r="K120" s="71">
        <v>1.0</v>
      </c>
      <c r="L120" s="43" t="s">
        <v>68</v>
      </c>
    </row>
    <row r="121">
      <c r="H121" s="104">
        <v>24.0</v>
      </c>
      <c r="I121" s="106" t="s">
        <v>127</v>
      </c>
      <c r="J121" s="57"/>
      <c r="K121" s="71">
        <v>1.0</v>
      </c>
      <c r="L121" s="43" t="s">
        <v>68</v>
      </c>
    </row>
    <row r="122">
      <c r="H122" s="104">
        <v>25.0</v>
      </c>
      <c r="I122" s="100" t="s">
        <v>120</v>
      </c>
      <c r="J122" s="57"/>
      <c r="K122" s="71">
        <v>1.0</v>
      </c>
      <c r="L122" s="43" t="s">
        <v>68</v>
      </c>
    </row>
    <row r="123">
      <c r="H123" s="104">
        <v>26.0</v>
      </c>
      <c r="I123" s="42" t="s">
        <v>117</v>
      </c>
      <c r="J123" s="57"/>
      <c r="K123" s="71">
        <v>1.0</v>
      </c>
      <c r="L123" s="43" t="s">
        <v>68</v>
      </c>
    </row>
    <row r="127">
      <c r="H127" s="8" t="s">
        <v>183</v>
      </c>
      <c r="I127" s="10"/>
      <c r="J127" s="10"/>
      <c r="K127" s="10"/>
      <c r="L127" s="13"/>
    </row>
    <row r="128">
      <c r="H128" s="15" t="s">
        <v>13</v>
      </c>
      <c r="I128" s="17" t="s">
        <v>16</v>
      </c>
      <c r="J128" s="24" t="s">
        <v>23</v>
      </c>
      <c r="K128" s="26" t="s">
        <v>24</v>
      </c>
      <c r="L128" s="28" t="s">
        <v>27</v>
      </c>
    </row>
    <row r="129">
      <c r="H129" s="31">
        <v>1.0</v>
      </c>
      <c r="I129" s="32" t="s">
        <v>20</v>
      </c>
      <c r="J129" s="38" t="s">
        <v>153</v>
      </c>
      <c r="K129" s="41">
        <v>2.2</v>
      </c>
      <c r="L129" s="43" t="s">
        <v>46</v>
      </c>
    </row>
    <row r="130">
      <c r="H130" s="31">
        <f t="shared" ref="H130:H132" si="12">H129+1</f>
        <v>2</v>
      </c>
      <c r="I130" s="32" t="s">
        <v>47</v>
      </c>
      <c r="J130" s="38" t="s">
        <v>153</v>
      </c>
      <c r="K130" s="51">
        <f>25/110</f>
        <v>0.2272727273</v>
      </c>
      <c r="L130" s="53" t="s">
        <v>62</v>
      </c>
    </row>
    <row r="131">
      <c r="H131" s="52">
        <f t="shared" si="12"/>
        <v>3</v>
      </c>
      <c r="I131" s="55" t="s">
        <v>63</v>
      </c>
      <c r="J131" s="57"/>
      <c r="K131" s="51">
        <f>1/3</f>
        <v>0.3333333333</v>
      </c>
      <c r="L131" s="61" t="s">
        <v>68</v>
      </c>
    </row>
    <row r="132">
      <c r="H132" s="60">
        <f t="shared" si="12"/>
        <v>4</v>
      </c>
      <c r="I132" s="63" t="s">
        <v>77</v>
      </c>
      <c r="J132" s="38" t="s">
        <v>149</v>
      </c>
      <c r="K132" s="65">
        <v>1.0</v>
      </c>
      <c r="L132" s="61" t="s">
        <v>68</v>
      </c>
    </row>
    <row r="133">
      <c r="H133" s="66">
        <v>5.0</v>
      </c>
      <c r="I133" s="76" t="s">
        <v>97</v>
      </c>
      <c r="J133" s="70"/>
      <c r="K133" s="65">
        <v>1.0</v>
      </c>
      <c r="L133" s="61" t="s">
        <v>68</v>
      </c>
    </row>
    <row r="134">
      <c r="H134" s="73">
        <f t="shared" ref="H134:H148" si="13">H133+1</f>
        <v>6</v>
      </c>
      <c r="I134" s="74" t="s">
        <v>64</v>
      </c>
      <c r="J134" s="57"/>
      <c r="K134" s="65">
        <v>1.0</v>
      </c>
      <c r="L134" s="61" t="s">
        <v>68</v>
      </c>
    </row>
    <row r="135">
      <c r="H135" s="89">
        <f t="shared" si="13"/>
        <v>7</v>
      </c>
      <c r="I135" s="120" t="s">
        <v>72</v>
      </c>
      <c r="J135" s="57"/>
      <c r="K135" s="71">
        <v>4.0</v>
      </c>
      <c r="L135" s="61" t="s">
        <v>68</v>
      </c>
    </row>
    <row r="136">
      <c r="H136" s="89">
        <f t="shared" si="13"/>
        <v>8</v>
      </c>
      <c r="I136" s="80" t="s">
        <v>69</v>
      </c>
      <c r="J136" s="57"/>
      <c r="K136" s="41">
        <v>0.16</v>
      </c>
      <c r="L136" s="61" t="s">
        <v>96</v>
      </c>
    </row>
    <row r="137">
      <c r="H137" s="89">
        <f t="shared" si="13"/>
        <v>9</v>
      </c>
      <c r="I137" s="80" t="s">
        <v>71</v>
      </c>
      <c r="J137" s="57"/>
      <c r="K137" s="41">
        <v>0.26</v>
      </c>
      <c r="L137" s="61" t="s">
        <v>96</v>
      </c>
    </row>
    <row r="138">
      <c r="H138" s="83">
        <f t="shared" si="13"/>
        <v>10</v>
      </c>
      <c r="I138" s="84" t="s">
        <v>75</v>
      </c>
      <c r="J138" s="57"/>
      <c r="K138" s="71">
        <v>1.0</v>
      </c>
      <c r="L138" s="43" t="s">
        <v>68</v>
      </c>
    </row>
    <row r="139">
      <c r="H139" s="83">
        <f t="shared" si="13"/>
        <v>11</v>
      </c>
      <c r="I139" s="94" t="s">
        <v>173</v>
      </c>
      <c r="J139" s="57"/>
      <c r="K139" s="71">
        <v>1.0</v>
      </c>
      <c r="L139" s="43" t="s">
        <v>68</v>
      </c>
    </row>
    <row r="140">
      <c r="H140" s="83">
        <f t="shared" si="13"/>
        <v>12</v>
      </c>
      <c r="I140" s="84" t="s">
        <v>76</v>
      </c>
      <c r="J140" s="57"/>
      <c r="K140" s="41">
        <v>2.5</v>
      </c>
      <c r="L140" s="61" t="s">
        <v>96</v>
      </c>
    </row>
    <row r="141">
      <c r="H141" s="83">
        <f t="shared" si="13"/>
        <v>13</v>
      </c>
      <c r="I141" s="84" t="s">
        <v>79</v>
      </c>
      <c r="J141" s="57"/>
      <c r="K141" s="71">
        <v>4.0</v>
      </c>
      <c r="L141" s="61" t="s">
        <v>68</v>
      </c>
    </row>
    <row r="142">
      <c r="H142" s="83">
        <f t="shared" si="13"/>
        <v>14</v>
      </c>
      <c r="I142" s="84" t="s">
        <v>80</v>
      </c>
      <c r="J142" s="57"/>
      <c r="K142" s="41">
        <v>0.1</v>
      </c>
      <c r="L142" s="43" t="s">
        <v>96</v>
      </c>
    </row>
    <row r="143">
      <c r="H143" s="83">
        <f t="shared" si="13"/>
        <v>15</v>
      </c>
      <c r="I143" s="94" t="s">
        <v>118</v>
      </c>
      <c r="J143" s="57"/>
      <c r="K143" s="71">
        <v>8.0</v>
      </c>
      <c r="L143" s="43" t="s">
        <v>68</v>
      </c>
    </row>
    <row r="144">
      <c r="H144" s="83">
        <f t="shared" si="13"/>
        <v>16</v>
      </c>
      <c r="I144" s="94" t="s">
        <v>121</v>
      </c>
      <c r="J144" s="57"/>
      <c r="K144" s="71">
        <v>1.0</v>
      </c>
      <c r="L144" s="43" t="s">
        <v>68</v>
      </c>
    </row>
    <row r="145">
      <c r="H145" s="83">
        <f t="shared" si="13"/>
        <v>17</v>
      </c>
      <c r="I145" s="94" t="s">
        <v>88</v>
      </c>
      <c r="J145" s="38" t="s">
        <v>153</v>
      </c>
      <c r="K145" s="98">
        <v>1.0</v>
      </c>
      <c r="L145" s="43" t="s">
        <v>68</v>
      </c>
    </row>
    <row r="146">
      <c r="H146" s="83">
        <f t="shared" si="13"/>
        <v>18</v>
      </c>
      <c r="I146" s="84" t="s">
        <v>90</v>
      </c>
      <c r="J146" s="38" t="s">
        <v>153</v>
      </c>
      <c r="K146" s="71">
        <v>1.0</v>
      </c>
      <c r="L146" s="43" t="s">
        <v>68</v>
      </c>
    </row>
    <row r="147">
      <c r="H147" s="83">
        <f t="shared" si="13"/>
        <v>19</v>
      </c>
      <c r="I147" s="84" t="s">
        <v>92</v>
      </c>
      <c r="J147" s="57"/>
      <c r="K147" s="71">
        <v>1.0</v>
      </c>
      <c r="L147" s="43" t="s">
        <v>68</v>
      </c>
    </row>
    <row r="148">
      <c r="H148" s="83">
        <f t="shared" si="13"/>
        <v>20</v>
      </c>
      <c r="I148" s="84" t="s">
        <v>93</v>
      </c>
      <c r="J148" s="57"/>
      <c r="K148" s="71">
        <v>1.0</v>
      </c>
      <c r="L148" s="43" t="s">
        <v>68</v>
      </c>
    </row>
    <row r="149">
      <c r="H149" s="104">
        <v>21.0</v>
      </c>
      <c r="I149" s="102" t="s">
        <v>123</v>
      </c>
      <c r="J149" s="57"/>
      <c r="K149" s="71">
        <v>1.0</v>
      </c>
      <c r="L149" s="43" t="s">
        <v>68</v>
      </c>
    </row>
    <row r="150">
      <c r="H150" s="104">
        <v>22.0</v>
      </c>
      <c r="I150" s="102" t="s">
        <v>124</v>
      </c>
      <c r="J150" s="57"/>
      <c r="K150" s="71">
        <v>1.0</v>
      </c>
      <c r="L150" s="43" t="s">
        <v>68</v>
      </c>
    </row>
    <row r="151">
      <c r="H151" s="104">
        <v>23.0</v>
      </c>
      <c r="I151" s="102" t="s">
        <v>125</v>
      </c>
      <c r="J151" s="57"/>
      <c r="K151" s="71">
        <v>1.0</v>
      </c>
      <c r="L151" s="43" t="s">
        <v>68</v>
      </c>
    </row>
    <row r="152">
      <c r="H152" s="104">
        <v>24.0</v>
      </c>
      <c r="I152" s="106" t="s">
        <v>127</v>
      </c>
      <c r="J152" s="57"/>
      <c r="K152" s="71">
        <v>1.0</v>
      </c>
      <c r="L152" s="43" t="s">
        <v>68</v>
      </c>
    </row>
    <row r="153">
      <c r="H153" s="104">
        <v>25.0</v>
      </c>
      <c r="I153" s="100" t="s">
        <v>120</v>
      </c>
      <c r="J153" s="57"/>
      <c r="K153" s="71">
        <v>1.0</v>
      </c>
      <c r="L153" s="43" t="s">
        <v>68</v>
      </c>
    </row>
    <row r="154">
      <c r="H154" s="104">
        <v>26.0</v>
      </c>
      <c r="I154" s="42" t="s">
        <v>117</v>
      </c>
      <c r="J154" s="57"/>
      <c r="K154" s="71">
        <v>1.0</v>
      </c>
      <c r="L154" s="43" t="s">
        <v>68</v>
      </c>
    </row>
  </sheetData>
  <mergeCells count="36">
    <mergeCell ref="A1:L1"/>
    <mergeCell ref="A3:F3"/>
    <mergeCell ref="H3:L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9:E29"/>
    <mergeCell ref="C30:E30"/>
    <mergeCell ref="C31:E31"/>
    <mergeCell ref="C32:E32"/>
    <mergeCell ref="H34:L34"/>
    <mergeCell ref="H65:L65"/>
    <mergeCell ref="H96:L96"/>
    <mergeCell ref="H127:L127"/>
    <mergeCell ref="C22:E22"/>
    <mergeCell ref="C23:E23"/>
    <mergeCell ref="C24:E24"/>
    <mergeCell ref="C25:E25"/>
    <mergeCell ref="C26:E26"/>
    <mergeCell ref="C27:E27"/>
    <mergeCell ref="C28:E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3.38"/>
    <col customWidth="1" min="5" max="5" width="18.5"/>
  </cols>
  <sheetData>
    <row r="1">
      <c r="A1" s="119" t="s">
        <v>175</v>
      </c>
    </row>
    <row r="5">
      <c r="A5" s="4" t="s">
        <v>177</v>
      </c>
    </row>
    <row r="6">
      <c r="A6" s="15" t="s">
        <v>13</v>
      </c>
      <c r="B6" s="17" t="s">
        <v>16</v>
      </c>
      <c r="C6" s="20" t="s">
        <v>18</v>
      </c>
      <c r="D6" s="10"/>
      <c r="E6" s="13"/>
      <c r="F6" s="18" t="s">
        <v>22</v>
      </c>
    </row>
    <row r="7">
      <c r="A7" s="31">
        <v>1.0</v>
      </c>
      <c r="B7" s="112" t="s">
        <v>28</v>
      </c>
      <c r="C7" s="33" t="s">
        <v>178</v>
      </c>
      <c r="D7" s="10"/>
      <c r="E7" s="13"/>
      <c r="F7" s="36" t="s">
        <v>42</v>
      </c>
    </row>
    <row r="8">
      <c r="A8" s="31">
        <f t="shared" ref="A8:A23" si="1">A7+1</f>
        <v>2</v>
      </c>
      <c r="B8" s="32" t="s">
        <v>179</v>
      </c>
      <c r="C8" s="33" t="s">
        <v>50</v>
      </c>
      <c r="D8" s="10"/>
      <c r="E8" s="13"/>
      <c r="F8" s="36" t="s">
        <v>42</v>
      </c>
    </row>
    <row r="9">
      <c r="A9" s="52">
        <f t="shared" si="1"/>
        <v>3</v>
      </c>
      <c r="B9" s="55" t="s">
        <v>63</v>
      </c>
      <c r="C9" s="33" t="s">
        <v>178</v>
      </c>
      <c r="D9" s="10"/>
      <c r="E9" s="13"/>
      <c r="F9" s="36" t="s">
        <v>42</v>
      </c>
    </row>
    <row r="10">
      <c r="A10" s="60">
        <f t="shared" si="1"/>
        <v>4</v>
      </c>
      <c r="B10" s="63" t="s">
        <v>82</v>
      </c>
      <c r="C10" s="33" t="s">
        <v>85</v>
      </c>
      <c r="D10" s="10"/>
      <c r="E10" s="13"/>
      <c r="F10" s="36" t="s">
        <v>42</v>
      </c>
    </row>
    <row r="11">
      <c r="A11" s="60">
        <f t="shared" si="1"/>
        <v>5</v>
      </c>
      <c r="B11" s="37" t="s">
        <v>48</v>
      </c>
      <c r="C11" s="33" t="s">
        <v>51</v>
      </c>
      <c r="D11" s="10"/>
      <c r="E11" s="13"/>
      <c r="F11" s="36" t="s">
        <v>42</v>
      </c>
    </row>
    <row r="12">
      <c r="A12" s="60">
        <f t="shared" si="1"/>
        <v>6</v>
      </c>
      <c r="B12" s="37" t="s">
        <v>52</v>
      </c>
      <c r="C12" s="33" t="s">
        <v>87</v>
      </c>
      <c r="D12" s="10"/>
      <c r="E12" s="13"/>
      <c r="F12" s="36" t="s">
        <v>42</v>
      </c>
    </row>
    <row r="13">
      <c r="A13" s="60">
        <f t="shared" si="1"/>
        <v>7</v>
      </c>
      <c r="B13" s="76" t="s">
        <v>172</v>
      </c>
      <c r="C13" s="33"/>
      <c r="D13" s="10"/>
      <c r="E13" s="13"/>
      <c r="F13" s="36" t="s">
        <v>42</v>
      </c>
    </row>
    <row r="14">
      <c r="A14" s="73">
        <f t="shared" si="1"/>
        <v>8</v>
      </c>
      <c r="B14" s="74" t="s">
        <v>64</v>
      </c>
      <c r="C14" s="33"/>
      <c r="D14" s="10"/>
      <c r="E14" s="13"/>
      <c r="F14" s="36" t="s">
        <v>42</v>
      </c>
    </row>
    <row r="15">
      <c r="A15" s="89">
        <f t="shared" si="1"/>
        <v>9</v>
      </c>
      <c r="B15" s="120" t="s">
        <v>72</v>
      </c>
      <c r="C15" s="33"/>
      <c r="D15" s="10"/>
      <c r="E15" s="13"/>
      <c r="F15" s="36" t="s">
        <v>42</v>
      </c>
    </row>
    <row r="16">
      <c r="A16" s="89">
        <f t="shared" si="1"/>
        <v>10</v>
      </c>
      <c r="B16" s="80" t="s">
        <v>69</v>
      </c>
      <c r="C16" s="33"/>
      <c r="D16" s="10"/>
      <c r="E16" s="13"/>
      <c r="F16" s="36" t="s">
        <v>42</v>
      </c>
    </row>
    <row r="17">
      <c r="A17" s="89">
        <f t="shared" si="1"/>
        <v>11</v>
      </c>
      <c r="B17" s="80" t="s">
        <v>71</v>
      </c>
      <c r="C17" s="33"/>
      <c r="D17" s="10"/>
      <c r="E17" s="13"/>
      <c r="F17" s="36" t="s">
        <v>42</v>
      </c>
    </row>
    <row r="18">
      <c r="A18" s="83">
        <f t="shared" si="1"/>
        <v>12</v>
      </c>
      <c r="B18" s="84" t="s">
        <v>75</v>
      </c>
      <c r="C18" s="33"/>
      <c r="D18" s="10"/>
      <c r="E18" s="13"/>
      <c r="F18" s="36" t="s">
        <v>42</v>
      </c>
    </row>
    <row r="19">
      <c r="A19" s="83">
        <f t="shared" si="1"/>
        <v>13</v>
      </c>
      <c r="B19" s="84" t="s">
        <v>76</v>
      </c>
      <c r="C19" s="33"/>
      <c r="D19" s="10"/>
      <c r="E19" s="13"/>
      <c r="F19" s="36" t="s">
        <v>42</v>
      </c>
    </row>
    <row r="20">
      <c r="A20" s="83">
        <f t="shared" si="1"/>
        <v>14</v>
      </c>
      <c r="B20" s="84" t="s">
        <v>79</v>
      </c>
      <c r="C20" s="33"/>
      <c r="D20" s="10"/>
      <c r="E20" s="13"/>
      <c r="F20" s="36" t="s">
        <v>42</v>
      </c>
    </row>
    <row r="21">
      <c r="A21" s="83">
        <f t="shared" si="1"/>
        <v>15</v>
      </c>
      <c r="B21" s="84" t="s">
        <v>80</v>
      </c>
      <c r="C21" s="33"/>
      <c r="D21" s="10"/>
      <c r="E21" s="13"/>
      <c r="F21" s="36" t="s">
        <v>42</v>
      </c>
    </row>
    <row r="22">
      <c r="A22" s="83">
        <f t="shared" si="1"/>
        <v>16</v>
      </c>
      <c r="B22" s="94" t="s">
        <v>180</v>
      </c>
      <c r="C22" s="33"/>
      <c r="D22" s="10"/>
      <c r="E22" s="13"/>
      <c r="F22" s="36" t="s">
        <v>42</v>
      </c>
    </row>
    <row r="23">
      <c r="A23" s="83">
        <f t="shared" si="1"/>
        <v>17</v>
      </c>
      <c r="B23" s="94" t="s">
        <v>84</v>
      </c>
      <c r="C23" s="33"/>
      <c r="D23" s="10"/>
      <c r="E23" s="13"/>
      <c r="F23" s="36" t="s">
        <v>42</v>
      </c>
    </row>
    <row r="24">
      <c r="A24" s="83">
        <f>A22+1</f>
        <v>17</v>
      </c>
      <c r="B24" s="94" t="s">
        <v>132</v>
      </c>
      <c r="C24" s="33" t="s">
        <v>89</v>
      </c>
      <c r="D24" s="10"/>
      <c r="E24" s="13"/>
      <c r="F24" s="36" t="s">
        <v>42</v>
      </c>
    </row>
    <row r="25">
      <c r="A25" s="83">
        <f t="shared" ref="A25:A33" si="2">A24+1</f>
        <v>18</v>
      </c>
      <c r="B25" s="84" t="s">
        <v>90</v>
      </c>
      <c r="C25" s="33" t="s">
        <v>89</v>
      </c>
      <c r="D25" s="10"/>
      <c r="E25" s="13"/>
      <c r="F25" s="36" t="s">
        <v>133</v>
      </c>
    </row>
    <row r="26">
      <c r="A26" s="83">
        <f t="shared" si="2"/>
        <v>19</v>
      </c>
      <c r="B26" s="84" t="s">
        <v>92</v>
      </c>
      <c r="C26" s="33"/>
      <c r="D26" s="10"/>
      <c r="E26" s="13"/>
      <c r="F26" s="36" t="s">
        <v>133</v>
      </c>
    </row>
    <row r="27">
      <c r="A27" s="83">
        <f t="shared" si="2"/>
        <v>20</v>
      </c>
      <c r="B27" s="84" t="s">
        <v>93</v>
      </c>
      <c r="C27" s="33"/>
      <c r="D27" s="10"/>
      <c r="E27" s="13"/>
      <c r="F27" s="36" t="s">
        <v>133</v>
      </c>
    </row>
    <row r="28">
      <c r="A28" s="101">
        <f t="shared" si="2"/>
        <v>21</v>
      </c>
      <c r="B28" s="102" t="s">
        <v>123</v>
      </c>
      <c r="C28" s="33"/>
      <c r="D28" s="10"/>
      <c r="E28" s="13"/>
      <c r="F28" s="36" t="s">
        <v>42</v>
      </c>
    </row>
    <row r="29">
      <c r="A29" s="101">
        <f t="shared" si="2"/>
        <v>22</v>
      </c>
      <c r="B29" s="102" t="s">
        <v>124</v>
      </c>
      <c r="C29" s="33"/>
      <c r="D29" s="10"/>
      <c r="E29" s="13"/>
      <c r="F29" s="36" t="s">
        <v>42</v>
      </c>
    </row>
    <row r="30">
      <c r="A30" s="101">
        <f t="shared" si="2"/>
        <v>23</v>
      </c>
      <c r="B30" s="102" t="s">
        <v>125</v>
      </c>
      <c r="C30" s="33"/>
      <c r="D30" s="10"/>
      <c r="E30" s="13"/>
      <c r="F30" s="36" t="s">
        <v>42</v>
      </c>
    </row>
    <row r="31">
      <c r="A31" s="101">
        <f t="shared" si="2"/>
        <v>24</v>
      </c>
      <c r="B31" s="106" t="s">
        <v>127</v>
      </c>
      <c r="C31" s="33"/>
      <c r="D31" s="10"/>
      <c r="E31" s="13"/>
      <c r="F31" s="36" t="s">
        <v>133</v>
      </c>
    </row>
    <row r="32">
      <c r="A32" s="101">
        <f t="shared" si="2"/>
        <v>25</v>
      </c>
      <c r="B32" s="100" t="s">
        <v>120</v>
      </c>
      <c r="C32" s="33"/>
      <c r="D32" s="10"/>
      <c r="E32" s="13"/>
      <c r="F32" s="36" t="s">
        <v>137</v>
      </c>
    </row>
    <row r="33">
      <c r="A33" s="101">
        <f t="shared" si="2"/>
        <v>26</v>
      </c>
      <c r="B33" s="100" t="s">
        <v>126</v>
      </c>
      <c r="C33" s="33"/>
      <c r="D33" s="10"/>
      <c r="E33" s="13"/>
      <c r="F33" s="36" t="s">
        <v>42</v>
      </c>
    </row>
  </sheetData>
  <mergeCells count="30">
    <mergeCell ref="A1:L1"/>
    <mergeCell ref="A5:F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32:E32"/>
    <mergeCell ref="C33:E33"/>
    <mergeCell ref="C25:E25"/>
    <mergeCell ref="C26:E26"/>
    <mergeCell ref="C27:E27"/>
    <mergeCell ref="C28:E28"/>
    <mergeCell ref="C29:E29"/>
    <mergeCell ref="C30:E30"/>
    <mergeCell ref="C31:E31"/>
  </mergeCells>
  <drawing r:id="rId1"/>
</worksheet>
</file>